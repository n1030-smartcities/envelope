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rametros_zone" sheetId="1" r:id="rId4"/>
    <sheet state="visible" name="Planilha1" sheetId="2" r:id="rId5"/>
    <sheet state="visible" name="Planilha13" sheetId="3" r:id="rId6"/>
    <sheet state="visible" name="Planilha6" sheetId="4" r:id="rId7"/>
    <sheet state="visible" name="MACROZONAS" sheetId="5" r:id="rId8"/>
    <sheet state="visible" name="SETORES" sheetId="6" r:id="rId9"/>
    <sheet state="visible" name="CAL" sheetId="7" r:id="rId10"/>
    <sheet state="visible" name="GABARITO" sheetId="8" r:id="rId11"/>
    <sheet state="visible" name="Q.A" sheetId="9" r:id="rId12"/>
    <sheet state="visible" name="TO" sheetId="10" r:id="rId13"/>
    <sheet state="visible" name="RECUO" sheetId="11" r:id="rId14"/>
    <sheet state="visible" name="REC.L.F" sheetId="12" r:id="rId15"/>
    <sheet state="visible" name="TP" sheetId="13" r:id="rId16"/>
    <sheet state="visible" name="Vaga" sheetId="14" r:id="rId17"/>
    <sheet state="visible" name="EMBASAMENTO" sheetId="15" r:id="rId18"/>
    <sheet state="visible" name="USOS" sheetId="16" r:id="rId19"/>
    <sheet state="visible" name="USO_ZONA" sheetId="17" r:id="rId20"/>
    <sheet state="visible" name="OBS" sheetId="18" r:id="rId21"/>
  </sheets>
  <definedNames>
    <definedName hidden="1" localSheetId="16" name="_xlnm._FilterDatabase">USO_ZONA!$A$1:$H$540</definedName>
  </definedNames>
  <calcPr/>
  <extLst>
    <ext uri="GoogleSheetsCustomDataVersion2">
      <go:sheetsCustomData xmlns:go="http://customooxmlschemas.google.com/" r:id="rId22" roundtripDataChecksum="mpFTxI/Oa+LAnpyTSY6KoUrszH7nXQHGJOhHvc49OKk="/>
    </ext>
  </extLst>
</workbook>
</file>

<file path=xl/sharedStrings.xml><?xml version="1.0" encoding="utf-8"?>
<sst xmlns="http://schemas.openxmlformats.org/spreadsheetml/2006/main" count="5870" uniqueCount="398">
  <si>
    <t>sector</t>
  </si>
  <si>
    <t>taxa_ocupacao</t>
  </si>
  <si>
    <t>coeficiente_aproveitamento</t>
  </si>
  <si>
    <t>gabarito</t>
  </si>
  <si>
    <t>permeabilidade</t>
  </si>
  <si>
    <t>recuo_frontal</t>
  </si>
  <si>
    <t>recuo_lateral</t>
  </si>
  <si>
    <t>recuo_fundos</t>
  </si>
  <si>
    <t>area_minima</t>
  </si>
  <si>
    <t>usos_permitidos</t>
  </si>
  <si>
    <t>usos_condicionados</t>
  </si>
  <si>
    <t>usos_proibidos</t>
  </si>
  <si>
    <t>SA-01</t>
  </si>
  <si>
    <t>1.5</t>
  </si>
  <si>
    <t>[]</t>
  </si>
  <si>
    <t>SE-03</t>
  </si>
  <si>
    <t>["residencial_unifamiliar","residencial_multifamiliar","comercio_varejista_pequeno","comercio_varejista_medio","comercio_varejista_grande","comercio_atacadista_pequeno","comercio_atacadista_medio_grande","servico_transporte_armazenagem_correio","servico_alojamento_alimentacao","servico_informacao_comunicacao","servico_financeiro_seguro","industria_transformacao","infraestrutura_energia","infraestrutura_agua","infraestrutura_residuos_liquidos","infraestrutura_residuos_solidos","infraestrutura_gestao_residuos"]</t>
  </si>
  <si>
    <t>SA-05</t>
  </si>
  <si>
    <t>AUAE</t>
  </si>
  <si>
    <t>["agricultura","industria_extrativista"]</t>
  </si>
  <si>
    <t>SE-06</t>
  </si>
  <si>
    <t>["residencial_unifamiliar","residencial_multifamiliar","comercio_varejista_pequeno","comercio_varejista_medio","comercio_varejista_grande","comercio_atacadista_pequeno","comercio_atacadista_medio_grande","servico_transporte_armazenagem_correio","servico_alojamento_alimentacao","servico_informacao_comunicacao","servico_financeiro_seguro","industria_transformacao","industria_extrativista","infraestrutura_energia","infraestrutura_agua","infraestrutura_residuos_liquidos","infraestrutura_residuos_solidos","infraestrutura_gestao_residuos"]</t>
  </si>
  <si>
    <t>SE-06A</t>
  </si>
  <si>
    <t>SE-09</t>
  </si>
  <si>
    <t>SE-08</t>
  </si>
  <si>
    <t>SA-04</t>
  </si>
  <si>
    <t>FR</t>
  </si>
  <si>
    <t>SE-07</t>
  </si>
  <si>
    <t>AUAS</t>
  </si>
  <si>
    <t>ARPA</t>
  </si>
  <si>
    <t>0.1</t>
  </si>
  <si>
    <t>["infraestrutura_energia","infraestrutura_agua","infraestrutura_residuos_liquidos","infraestrutura_residuos_solidos","infraestrutura_gestao_residuos"]</t>
  </si>
  <si>
    <t>["residencial_unifamiliar","residencial_multifamiliar","comercio_varejista_pequeno","comercio_varejista_medio","comercio_varejista_grande","comercio_atacadista_pequeno","comercio_atacadista_medio_grande","servico_transporte_armazenagem_correio","servico_alojamento_alimentacao","servico_informacao_comunicacao","servico_financeiro_seguro","industria_transformacao","industria_extrativista","agricultura","producao_florestal","pesca_aquicultura"]</t>
  </si>
  <si>
    <t>AUAP</t>
  </si>
  <si>
    <t>SA-02</t>
  </si>
  <si>
    <t>FV</t>
  </si>
  <si>
    <t>SE-02</t>
  </si>
  <si>
    <t>SE-01</t>
  </si>
  <si>
    <t>SE-04</t>
  </si>
  <si>
    <t>AUPA</t>
  </si>
  <si>
    <t>SE-05</t>
  </si>
  <si>
    <t>SA-03</t>
  </si>
  <si>
    <t>AUAC</t>
  </si>
  <si>
    <t>ARUC</t>
  </si>
  <si>
    <t>["residencial_unifamiliar","comercio_varejista_pequeno","comercio_atacadista_pequeno","servico_transporte_armazenagem_correio","servico_alojamento_alimentacao","servico_financeiro_seguro","agricultura_pecuaria","producao_florestal","pesca_aquicultura","industria_extrativista","industria_transformacao","infraestrutura_energia","infraestrutura_agua","infraestrutura_residuos_liquidos","infraestrutura_residuos_solidos","infraestrutura_gestao_residuos"]</t>
  </si>
  <si>
    <t>["residencial_multifamiliar"]</t>
  </si>
  <si>
    <t>macrozona</t>
  </si>
  <si>
    <t>setor</t>
  </si>
  <si>
    <t>subtipo</t>
  </si>
  <si>
    <t>Unifamiliar</t>
  </si>
  <si>
    <t>Multifamiliar</t>
  </si>
  <si>
    <t>Varejista</t>
  </si>
  <si>
    <t>Atacadista</t>
  </si>
  <si>
    <t>Atividades de Transporte, Armazenagem e Correio (3) (4)</t>
  </si>
  <si>
    <t>Atividades de
Transporte,
Armazenagem e
Correio (3) (4)</t>
  </si>
  <si>
    <t>Atividades de Alojamento e Alimentação</t>
  </si>
  <si>
    <t>Atividades de
Alojamento e
Alimentação</t>
  </si>
  <si>
    <t>Atividades de Informação e Comunicação</t>
  </si>
  <si>
    <t>Atividades de
Informação e
Comunicação</t>
  </si>
  <si>
    <t>Atividades Financeiras, de Seguros e Serviços Relacionados</t>
  </si>
  <si>
    <t>Atividades
Financeiras, de
Seguros e
Serviços
Relacionados</t>
  </si>
  <si>
    <t>Atividades Imobiliárias</t>
  </si>
  <si>
    <t>Atividades
Imobiliárias</t>
  </si>
  <si>
    <t>Atividades Profissionais Científicas e Técnicas.</t>
  </si>
  <si>
    <t>Atividades
Profissionais
Científicas e
Técnicas.</t>
  </si>
  <si>
    <t>Atividades Administrativas(inclusive segurança e educação) e Serviços Complementares</t>
  </si>
  <si>
    <t>Atividades
Administrativas
(inclusive
segurança e
educação) e
Serviços
Complementares</t>
  </si>
  <si>
    <t>Atividades deSaúde e Serviços Sociais</t>
  </si>
  <si>
    <t>Atividades de
Saúde e
Serviços Sociais</t>
  </si>
  <si>
    <t>Atividades de Artes, Cultura,  Esporte e Recreação</t>
  </si>
  <si>
    <t>Atividades de
Artes, Cultura,
Esporte e
Recreação</t>
  </si>
  <si>
    <t>Outras Atividades e Serviços</t>
  </si>
  <si>
    <t>Outras
Atividades e
Serviços</t>
  </si>
  <si>
    <t>Construção Civil</t>
  </si>
  <si>
    <t>Agricultura, Pecuária e Serviços Relacionados</t>
  </si>
  <si>
    <t>Agricultura, Pecuária e
Serviços Relacionados</t>
  </si>
  <si>
    <t>Produção Florestal</t>
  </si>
  <si>
    <t>Pesca e Aquicultura</t>
  </si>
  <si>
    <t>Extração de Carvão Mineral</t>
  </si>
  <si>
    <t>Extração de Petróleo e Gás Natural</t>
  </si>
  <si>
    <t>Extração de Petróleo e Gás
Natural</t>
  </si>
  <si>
    <t xml:space="preserve">Extração de Minerais Metálicos </t>
  </si>
  <si>
    <t>Extração de Minerais Não Metálicos</t>
  </si>
  <si>
    <t>Extração de Minerais Não
Metálicos</t>
  </si>
  <si>
    <t>Atividades de Apoio à Extração de Minerais</t>
  </si>
  <si>
    <t>Atividades de Apoio à Extração
de Minerais</t>
  </si>
  <si>
    <t>Fabricação de Produtos Alimentícios</t>
  </si>
  <si>
    <t>Fabricação de Bebidas</t>
  </si>
  <si>
    <t>Fabricação de Produtos de Fumo</t>
  </si>
  <si>
    <t>Fabricação de Produtos Têxteis</t>
  </si>
  <si>
    <t>Confecçãode Artigosde Vestuário e Acessórios</t>
  </si>
  <si>
    <t>Confecçãode Artigosde Vestuário e
Acessórios</t>
  </si>
  <si>
    <t>Preparação de Couros e Fabricação de Artefatos de Couro</t>
  </si>
  <si>
    <t>Preparação de Couros e Fabricação de
Artefatos de Couro</t>
  </si>
  <si>
    <t>Fabricação de Produtos de Madeira</t>
  </si>
  <si>
    <t>Fabricação de Celulose, Papel e Produtos do Papel</t>
  </si>
  <si>
    <t>Fabricação de Celulose, Papel
e Produtos do Papel</t>
  </si>
  <si>
    <t>Impressão e Reprodução de Gravações</t>
  </si>
  <si>
    <t>Fabricação de Coque, de Produtos Derivados de Petróleo e de Biocombustíveis.</t>
  </si>
  <si>
    <t>Fabricação de Coque, de
Produtos Derivados de Petróleo e
de Biocombustíveis.</t>
  </si>
  <si>
    <t>Fabricação de Produtos Químicos</t>
  </si>
  <si>
    <t>Fabricação de Produtos Farmoquímicos e Farmacêuticos</t>
  </si>
  <si>
    <t>Fabricação de Produtos
Farmoquímicos e Farmacêuticos</t>
  </si>
  <si>
    <t>Fabricação de Produtos de Borracha e de Material Plástico</t>
  </si>
  <si>
    <t>Fabricação de Produtos de Borracha
e de Material Plástico</t>
  </si>
  <si>
    <t>Fabricação de Produtos de Minerais não metalicos</t>
  </si>
  <si>
    <t>Metalurgia</t>
  </si>
  <si>
    <t>Fabricação de Produtos de Metal, exceto Máquinas e Equipamentos.</t>
  </si>
  <si>
    <t>Fabricação de Produtos de Metal,
exceto Máquinas e Equipamentos.</t>
  </si>
  <si>
    <t>Fabricação de equipamentos de Informática, Produtos Eletrônicos e Ópticos.</t>
  </si>
  <si>
    <t>Fabricação de equipamentos de
Informática, Produtos Eletrônicos e
Ópticos.</t>
  </si>
  <si>
    <t>Fabricação de máquinas, Aparelhos e materiais Elétricos.</t>
  </si>
  <si>
    <t>Fabricação de máquinas, Aparelhos e
materiais Elétricos.</t>
  </si>
  <si>
    <t>Fabricação de Veículos Automotores, Reboques e Carrocerias.</t>
  </si>
  <si>
    <t>Fabricação de Veículos Automotores,
Reboques e Carrocerias.</t>
  </si>
  <si>
    <t>Fabricação de outros Equipamentos de Transportes, exceto Veículos Automotores.</t>
  </si>
  <si>
    <t>Fabricação de outros Equipamentos de
Transportes, exceto Veículos
Automotores.</t>
  </si>
  <si>
    <t>Fabricação de móveis</t>
  </si>
  <si>
    <t>Fabricação de Produtos Diversos</t>
  </si>
  <si>
    <t>Manutenção, Reparação e Instalação de Máquinas e Equipamentos.</t>
  </si>
  <si>
    <t>Manutenção, Reparação e Instalação de
Máquinas e Equipamentos.</t>
  </si>
  <si>
    <t>SAR</t>
  </si>
  <si>
    <t>macrozona_id</t>
  </si>
  <si>
    <t>tipo</t>
  </si>
  <si>
    <t>codigo</t>
  </si>
  <si>
    <t>descricao</t>
  </si>
  <si>
    <t>observacoes</t>
  </si>
  <si>
    <t>obs_tabela</t>
  </si>
  <si>
    <t>Macrozona Urbana</t>
  </si>
  <si>
    <t>Área Urbana de Adensamento Prioritário</t>
  </si>
  <si>
    <t>parametros</t>
  </si>
  <si>
    <t>Área Urbana de Adensamento Secundário</t>
  </si>
  <si>
    <t>Área Urbana de Adensamento Controlado</t>
  </si>
  <si>
    <t>Área Urbana de Adensamento Especial</t>
  </si>
  <si>
    <t>Área Urbana de Proteção Ambiental</t>
  </si>
  <si>
    <t>Macrozona Rural</t>
  </si>
  <si>
    <t>Área Rural de Proteção Natural</t>
  </si>
  <si>
    <t>Área Rural de Utilização Controlada</t>
  </si>
  <si>
    <t xml:space="preserve"> </t>
  </si>
  <si>
    <t>setor_id</t>
  </si>
  <si>
    <t>Setor de Adensamento Prioritário 01</t>
  </si>
  <si>
    <t>Setor de Adensamento Prioritário 02</t>
  </si>
  <si>
    <t>Demais setores de Adensamento 03</t>
  </si>
  <si>
    <t>Demais setores de Adensamento 04</t>
  </si>
  <si>
    <t>Demais setores de Adensamento 05</t>
  </si>
  <si>
    <t>Setor de Adensamento Rural</t>
  </si>
  <si>
    <t>Setor Especial 01</t>
  </si>
  <si>
    <t>Setor Especial 02</t>
  </si>
  <si>
    <t>Setor Especial 03</t>
  </si>
  <si>
    <t>Setor Especial 04</t>
  </si>
  <si>
    <t>Setor Especial 05</t>
  </si>
  <si>
    <t>Setor Especial 06</t>
  </si>
  <si>
    <t>Setor Especial 07</t>
  </si>
  <si>
    <t>Setor Especial 08</t>
  </si>
  <si>
    <t>Setor Especial 09</t>
  </si>
  <si>
    <t>Faixa Viária</t>
  </si>
  <si>
    <t>Faixa Rodoviária</t>
  </si>
  <si>
    <t>cal</t>
  </si>
  <si>
    <t>obs_setor</t>
  </si>
  <si>
    <t>obs_coef</t>
  </si>
  <si>
    <t>obs_geral</t>
  </si>
  <si>
    <t>cal_id</t>
  </si>
  <si>
    <t>cal_macrozona_id</t>
  </si>
  <si>
    <t>cal_setor_id</t>
  </si>
  <si>
    <t>gab_id</t>
  </si>
  <si>
    <t>gab_macrozona_id</t>
  </si>
  <si>
    <t>gab_setor_id</t>
  </si>
  <si>
    <t>quota</t>
  </si>
  <si>
    <t>quota_id</t>
  </si>
  <si>
    <t>quota_macrozona_id</t>
  </si>
  <si>
    <t>quota_setor_id</t>
  </si>
  <si>
    <t>TO</t>
  </si>
  <si>
    <t>ocupacao_id</t>
  </si>
  <si>
    <t>ocupacao_macrozona_id</t>
  </si>
  <si>
    <t>ocupacao_setor_id</t>
  </si>
  <si>
    <t>recuo</t>
  </si>
  <si>
    <t>recuo_id</t>
  </si>
  <si>
    <t>recuo_macrozona_id</t>
  </si>
  <si>
    <t>recuo_setor_id</t>
  </si>
  <si>
    <t>divisor</t>
  </si>
  <si>
    <t>minimo</t>
  </si>
  <si>
    <t>acrescimo</t>
  </si>
  <si>
    <t>recLF_id</t>
  </si>
  <si>
    <t>recLF_macrozona_id</t>
  </si>
  <si>
    <t>recLF_setor_id</t>
  </si>
  <si>
    <t>h/6 + 0,5</t>
  </si>
  <si>
    <t>4, 10, 18</t>
  </si>
  <si>
    <t>tp</t>
  </si>
  <si>
    <t>permeabilidade_id</t>
  </si>
  <si>
    <t>permeabiliade_macrozona_id</t>
  </si>
  <si>
    <t>permeabilidade_setor_id</t>
  </si>
  <si>
    <t>vaga_guarda</t>
  </si>
  <si>
    <t>vaga_descarga</t>
  </si>
  <si>
    <t>vaga_id</t>
  </si>
  <si>
    <t>vaga_macrozona_id</t>
  </si>
  <si>
    <t>vaga_setor_id</t>
  </si>
  <si>
    <t>11, 15</t>
  </si>
  <si>
    <t>EMBASAMENTO</t>
  </si>
  <si>
    <t>embasamento_id</t>
  </si>
  <si>
    <t>embasamento_macrozona_id</t>
  </si>
  <si>
    <t>embasamento_setor_id</t>
  </si>
  <si>
    <t>porte</t>
  </si>
  <si>
    <t>cnae</t>
  </si>
  <si>
    <t>obs</t>
  </si>
  <si>
    <t>usos_id</t>
  </si>
  <si>
    <t>Coluna1</t>
  </si>
  <si>
    <t>RESIDENCIAL</t>
  </si>
  <si>
    <t>n/a</t>
  </si>
  <si>
    <t>usos_baixo</t>
  </si>
  <si>
    <t>COMERCIAL</t>
  </si>
  <si>
    <t>Pequeno</t>
  </si>
  <si>
    <t>45, 47</t>
  </si>
  <si>
    <t>Médio</t>
  </si>
  <si>
    <t>Grande</t>
  </si>
  <si>
    <t>45, 46</t>
  </si>
  <si>
    <t>SERVIÇO</t>
  </si>
  <si>
    <t>49, 50, 51, 52, 53</t>
  </si>
  <si>
    <t>55, 56</t>
  </si>
  <si>
    <t>55, 57</t>
  </si>
  <si>
    <t>55, 58</t>
  </si>
  <si>
    <t>58, 59, 60, 61, 62, 63</t>
  </si>
  <si>
    <t>64, 65, 66</t>
  </si>
  <si>
    <t>69, 70, 71, 72, 73, 74, 75</t>
  </si>
  <si>
    <t>77, 78, 79, 80, 81, 82, 83, 84, 85</t>
  </si>
  <si>
    <t>86, 87, 88</t>
  </si>
  <si>
    <t>90, 91, 92, 93</t>
  </si>
  <si>
    <t>94, 95, 96, 97, 98, 99</t>
  </si>
  <si>
    <t>41, 42, 43</t>
  </si>
  <si>
    <t>41, 42, 44</t>
  </si>
  <si>
    <t>41, 42, 45</t>
  </si>
  <si>
    <t>AGROSILVOPASTORIL</t>
  </si>
  <si>
    <t>Todos</t>
  </si>
  <si>
    <t>INDÚSTRIA EXTRATIVISTA</t>
  </si>
  <si>
    <t>INDÚSTRIA DE TRANSFORMAÇÃO</t>
  </si>
  <si>
    <t>todos</t>
  </si>
  <si>
    <t>usos_alto</t>
  </si>
  <si>
    <t>INFRAESTRUTURA</t>
  </si>
  <si>
    <t>Geração, Transmissão e Distribuição de Energia</t>
  </si>
  <si>
    <t>Captação, Tratamento e Distribuição de Água</t>
  </si>
  <si>
    <t>Coleta, Tratamento e Disposição de Resíduos Líquidos</t>
  </si>
  <si>
    <t>Coleta, Tratamento e Disposição de Resíduos Sólidos</t>
  </si>
  <si>
    <t>Descontaminação e Outros Serviços de Gestão de Resíduos</t>
  </si>
  <si>
    <t>usoZona_usoId</t>
  </si>
  <si>
    <t>uso</t>
  </si>
  <si>
    <t>permissão</t>
  </si>
  <si>
    <t>usoZona_id</t>
  </si>
  <si>
    <t>usoZona_macrozona_id</t>
  </si>
  <si>
    <t>usoZona_usos_id</t>
  </si>
  <si>
    <t>permitido</t>
  </si>
  <si>
    <t>RESIDENCIAL - Unifamiliar - n/a</t>
  </si>
  <si>
    <t>Permitido, exceto nas Faixas Rodoviárias (FR) e nos Setores Especiais de Interesse Industrial (SE-06), porém permitido no Setor Especial (SE-06A)</t>
  </si>
  <si>
    <t>proibido</t>
  </si>
  <si>
    <t>condicionado</t>
  </si>
  <si>
    <t>Permitido, exceto nas Faixas Rodoviárias (FR), nas vias
que compõem as Faixas Viárias, quando classificados
conforme incisos II e V do Art. 62 e as Unidades
Habitacionais fizerem frente direto para a via pública e nos
Setores Especiais de Conservação de Morros (SE-04), de
Conservação de Várzeas (SE-05) e de Interesse Industrial
(SE-06), porém, neste último, permitido no Setor Especial
(SE-06A).</t>
  </si>
  <si>
    <t>RESIDENCIAL - Multifamiliar - n/a</t>
  </si>
  <si>
    <t>COMERCIAL - Varejista - Pequeno</t>
  </si>
  <si>
    <t>Permitido, exceto nos Setores
Especiais de Interesse de
Conservação de Morros (SE-04)
e de Conservação de Várzeas
(SE-05).</t>
  </si>
  <si>
    <t>Permitido
apenas
nas
Faixas
Viárias
(FV)</t>
  </si>
  <si>
    <t>Permitido,
quando
caracterizado
de apoio aos
setores
agrícola e de
turismo.</t>
  </si>
  <si>
    <t>COMERCIAL - Varejista - Médio</t>
  </si>
  <si>
    <t>Permitido nas Faixas Viárias (FV) Faixas
Rodoviárias (FR), no Setor de
adensamento Prioritário (SA-01), nos
Setores Especiais de Interesse Industrial
(SE-06) e no Setor Especial de Interesse
Cultural (SE - 01).</t>
  </si>
  <si>
    <t>Proibida,
exceto a
atividade 47.3
(comércio
varejista de
combustíveis
para veículo
automotores),
quando este
fizer frente para
uma rodovia
estadual ou
federal</t>
  </si>
  <si>
    <t>COMERCIAL - Varejista - Grande</t>
  </si>
  <si>
    <t>Permitido nas Faixas Viárias (FV) Faixas
Rodoviárias (FR), no Setor de
adensamento Prioritário (SA-01), nos
Setores Especiais de Interesse Industrial
(SE-06) e no Setor Especial de Interesse
Cultural (SE - 01Permitido nas vias que deram origem as
Faixas Viárias (FV) Faixas Rodoviárias
(FR), no Setor de Adensamento Prioritário
(SA-01) e nos Setores Especiais de
Interesse Industrial (SE-06)</t>
  </si>
  <si>
    <t>COMERCIAL - Atacadista - Pequeno</t>
  </si>
  <si>
    <t>Permitido, exceto nos Setores
Especiais de Interesse de
Conservação de Morros (SE-04)
e de Conservação de Várzeas
(SE-05)</t>
  </si>
  <si>
    <t>Permitido,
apenas as
atividades 46.1
(representantes
comerciais e
agentes do
comércio) de
pequeno porte,
caracterizado
de apoio aos
setores
agrícola,
turístico ou
rodoviário e
46.2 (comércio
atacadista de
matérias
primas
agrícolas e
animais vivos).</t>
  </si>
  <si>
    <t>COMERCIAL - Atacadista - Médio</t>
  </si>
  <si>
    <t>Permitido nas Faixas
Rodoviárias (FR), nos Setores
Especiais de Interesse Industrial
(SE-06) e nas Faixas Viárias
(FV).</t>
  </si>
  <si>
    <t>COMERCIAL - Atacadista - Grande</t>
  </si>
  <si>
    <t>SERVIÇO - Atividades de Transporte, Armazenagem e Correio (3) (4) - Pequeno</t>
  </si>
  <si>
    <t>Permitido, exceto nos Setores Especiais de
Interesse de Conservação de Morros (SE-04)
e de Conservação de Várzeas (SE-05), e
desde que não haja a guarda e/ou circulação
de veículos e equipamentos "de grande porte"
destinados a serviços de transporte (1) (2)</t>
  </si>
  <si>
    <t>Permitido
apenas nas
Faixas Viárias
(FV), exceto a
Atividade de
Transporte,
Armazenagem
e Correio que
só será
permitido a de
pequeno porte.</t>
  </si>
  <si>
    <t>Permitido, quando
este fizer frente
para uma rodovia
estadual ou federal</t>
  </si>
  <si>
    <t>SERVIÇO - Atividades de Transporte, Armazenagem e Correio (3) (4) - Médio</t>
  </si>
  <si>
    <t>Permitido nas Faixas Rodoviárias (FR) e nos
Setores Especiais de Interesse Industrial (SE-
06).</t>
  </si>
  <si>
    <t>SERVIÇO - Atividades de Transporte, Armazenagem e Correio (3) (4) - Grande</t>
  </si>
  <si>
    <t>SERVIÇO - Atividades de Alojamento e Alimentação - Pequeno</t>
  </si>
  <si>
    <t>Permitido, exceto nos Setores Especiais de
Interesse de Conservação de Morros (SE-04)
e de Conservação de Várzeas (SE-05)</t>
  </si>
  <si>
    <t>Permitido, condicionado
parecer favorável do órgão
ambiental competente</t>
  </si>
  <si>
    <t>SERVIÇO - Atividades de Alojamento e Alimentação - Médio</t>
  </si>
  <si>
    <t>Permitido nas Faixas Viárias (FV), Faixas
Rodoviárias (FR), no Setor de Adensamento
Prioritário (SA-01), nos Setores Especiais de
Interesse Industrial (SE-06) e Setores
Especiais de Interesse Educacional (SE-03)</t>
  </si>
  <si>
    <t>SERVIÇO - Atividades de Alojamento e Alimentação - Grande</t>
  </si>
  <si>
    <t>SERVIÇO - Atividades de Informação e Comunicação - Pequeno</t>
  </si>
  <si>
    <t>Permitido, de
pequeno porte,
quando
caracterizado de
apoio aos setores
agrícola, turístico
ou rodoviário</t>
  </si>
  <si>
    <t>SERVIÇO - Atividades de Informação e Comunicação - Médio</t>
  </si>
  <si>
    <t>Permitido nas Faixas Viárias (FV), Faixas
Rodoviárias (FR), no Setor de Adensamento
Prioritário (SA-01) e nos Setores Especiais de
Interesse Industrial (SE-06)</t>
  </si>
  <si>
    <t>SERVIÇO - Atividades de Informação e Comunicação - Grande</t>
  </si>
  <si>
    <t>SERVIÇO - Atividades Financeiras, de Seguros e Serviços Relacionados - Pequeno</t>
  </si>
  <si>
    <t>SERVIÇO - Atividades Financeiras, de Seguros e Serviços Relacionados - Médio</t>
  </si>
  <si>
    <t>SERVIÇO - Atividades Financeiras, de Seguros e Serviços Relacionados - Grande</t>
  </si>
  <si>
    <t>SERVIÇO - Atividades Imobiliárias - Pequeno</t>
  </si>
  <si>
    <t>SERVIÇO - Atividades Imobiliárias - Médio</t>
  </si>
  <si>
    <t>SERVIÇO - Atividades Imobiliárias - Grande</t>
  </si>
  <si>
    <t>SERVIÇO - Atividades Profissionais Científicas e Técnicas. - Pequeno</t>
  </si>
  <si>
    <t>SERVIÇO - Atividades Profissionais Científicas e Técnicas. - Médio</t>
  </si>
  <si>
    <t>SERVIÇO - Atividades Profissionais Científicas e Técnicas. - Grande</t>
  </si>
  <si>
    <t>SERVIÇO - Atividades Administrativas(inclusive segurança e educação) e Serviços Complementares - Pequeno</t>
  </si>
  <si>
    <t>Permitido, de pequeno porte,
quando caracterizado de
apoio aos setores agrícola,
turístico ou rodoviário e
condicionado parecer
favorável do órgão ambiental
municipal.</t>
  </si>
  <si>
    <t>SERVIÇO - Atividades Administrativas(inclusive segurança e educação) e Serviços Complementares - Médio</t>
  </si>
  <si>
    <t>Permitido nas Faixas Viárias (FV), Faixas
Rodoviárias (FR), no Setor de Adensamento
Prioritário (SA-01) e nos Setores Especiais de
Interesse Industrial (SE-06)e no Setor Especial
de Segurança Pública (SE-09)</t>
  </si>
  <si>
    <t>SERVIÇO - Atividades Administrativas(inclusive segurança e educação) e Serviços Complementares - Grande</t>
  </si>
  <si>
    <t>SERVIÇO - Atividades deSaúde e Serviços Sociais - Pequeno</t>
  </si>
  <si>
    <t>SERVIÇO - Atividades deSaúde e Serviços Sociais - Médio</t>
  </si>
  <si>
    <t>SERVIÇO - Atividades deSaúde e Serviços Sociais - Grande</t>
  </si>
  <si>
    <t>SERVIÇO - Atividades de Artes, Cultura,  Esporte e Recreação - Pequeno</t>
  </si>
  <si>
    <t>SERVIÇO - Atividades de Artes, Cultura,  Esporte e Recreação - Médio</t>
  </si>
  <si>
    <t>SERVIÇO - Atividades de Artes, Cultura,  Esporte e Recreação - Grande</t>
  </si>
  <si>
    <t>SERVIÇO - Outras Atividades e Serviços - Pequeno</t>
  </si>
  <si>
    <t>SERVIÇO - Outras Atividades e Serviços - Médio</t>
  </si>
  <si>
    <t>SERVIÇO - Outras Atividades e Serviços - Grande</t>
  </si>
  <si>
    <t>SERVIÇO - Construção Civil - Pequeno</t>
  </si>
  <si>
    <t>Permitido, exceto nos Setores Especiais de
Interesse de Conservação de Morros (SE-04)
e de Conservação de Várzeas (SE-05), e;
desde que não haja a guarda e/ou utilização
de máquinas e equipamentos "pesados"
destinados à construção civil.
Permitido,
apenas nas
Faixas Viárias
(FV) e desde
que não haja a
guarda e/ou
utilização de
máquinas e
equipamentos
"pesados"
destinados à
construção civil.
Proibido
Permitido, de
pequeno porte,
quando
caracterizado de
apoio aos setore</t>
  </si>
  <si>
    <t>Permitido,
apenas nas
Faixas Viárias
(FV) e desde
que não haja a
guarda e/ou
utilização de
máquinas e
equipamentos
"pesados"
destinados à
construção civil.</t>
  </si>
  <si>
    <t>Permitido, de
pequeno porte,
quando
caracterizado de
apoio aos setores
agrícola, turístico
ou rodoviário e
condicionado
parecer favorável
do órgão ambiental
municipal.</t>
  </si>
  <si>
    <t>SERVIÇO - Construção Civil - Médio</t>
  </si>
  <si>
    <t>Permitido nas Faixas Rodoviárias (FR) e nos
Setores Especiais de Interesse Industrial (SE-
06). Nas Faixas Viárias (FV) e no Setor de
Adensamento Prioritário (SA-01), permitidos,
desde que não haja a guarda e/ou utilização
de máquinas e equipamentos "pesados"
destinados à construção civil.</t>
  </si>
  <si>
    <t>SERVIÇO - Construção Civil - Grande</t>
  </si>
  <si>
    <t>AGROSILVOPASTORIL - Agricultura, Pecuária e Serviços Relacionados - Todos</t>
  </si>
  <si>
    <t>Proibido, exceto a atividades de cultivo de flores e plantas
ornamentais (CNAE 01.22-9), horticultura (CNAE 01.21-1) e
criação de animais de estimação (CNAE 01.59-8)</t>
  </si>
  <si>
    <t>Permitido,
condicionado
parecer
favorável do
órgão
ambiental
competente.</t>
  </si>
  <si>
    <t>AGROSILVOPASTORIL - Produção Florestal - Todos</t>
  </si>
  <si>
    <t>AGROSILVOPASTORIL - Pesca e Aquicultura - Todos</t>
  </si>
  <si>
    <t>Proibido, exceto as atividades de apoio
à aquicultura (CNAE 03.21 -3/05 e
03.22 - 1/07)</t>
  </si>
  <si>
    <t>Proibido,
exceto as
atividades
de apoio à
aquicultura
(CNAE
03.21 -3/05
e 03.22 -
1/07) nas
Faixas
Viárias (FV)</t>
  </si>
  <si>
    <t>Proibido,
exceto as
atividades
de apoio à
aquicultura
(CNAE
03.21 -3/05
e 03.22 -
1/07)</t>
  </si>
  <si>
    <t>INDÚSTRIA EXTRATIVISTA - Extração de Carvão Mineral - Todos</t>
  </si>
  <si>
    <t>Proibido, exceto: extração de minerais não-metálicos (CNAE -
08.99 - 1/99), desde que caracterizado como águas subterrâneas;
atividades de extração de pedra, areia e argila (CNAE 08.1); apoio
à extração (CNAE 09.9) no desassoreamento de rios, em obras de
terraplenagem, de contenção de encostas, de infraestrutura urbana
e na retirada de material de corte em obras de terraplenagem,</t>
  </si>
  <si>
    <t>Permitido,
condicionado a licença
administrativa do
Departamento Nacional
da Produção Mineral –
DNPM e parecer
favorável do órgão
ambiental competente</t>
  </si>
  <si>
    <t>INDÚSTRIA EXTRATIVISTA - Extração de Petróleo e Gás Natural - Todos</t>
  </si>
  <si>
    <t>INDÚSTRIA EXTRATIVISTA - Extração de Minerais Metálicos  - Todos</t>
  </si>
  <si>
    <t>INDÚSTRIA EXTRATIVISTA - Extração de Minerais Não Metálicos - Todos</t>
  </si>
  <si>
    <t>INDÚSTRIA EXTRATIVISTA - Atividades de Apoio à Extração de Minerais - Todos</t>
  </si>
  <si>
    <t>INDÚSTRIA DE TRANSFORMAÇÃO - Fabricação de Produtos Alimentícios - todos</t>
  </si>
  <si>
    <t>As Atividades industriais classificadas com potencial poluidor/degradador geral pequeno, conforme Resolução pertinente do CONSEMA em vigor, serão permitidas em todo o Setor de Adensamento Secundário (SA-03), e nos outros setores serão permitidas somente nas vias que deram origem as Faixas Viárias e nas Faixas Rodoviárias.
As Atividades industriais classificadas com potencial poluidor/degradador geral pequeno, conforme Resolução pertinente do CONSEMA em vigor, com CNAE 10, 13 ou 14 serão permitidas em todos os Setores (NR).
As Atividades industrias com potencial poluidor/degradador geral médio estarão condicionadas a parecer favorável do órgão ambiental competente, serão permitidas em todo o Setor de Adensamento Secundário (SA-03), Faixas Rodoviárias e somente nas vias principais que configuram as Faixas Viárias dos outros setores.
As atividades industriais de grande porte serão permitidas somente nos Setores Especiais de Interesse Industrial, Faixa Rodoviárias e nos Setores de Adensamento Secundário (SA03), estando condicionadas, nesta última hipótese, à apresentação de Estudo de Impacto de Vizinhança.
No Setor Especial de Interesse Industrial (SE-06), não há restrição ao uso industrial.
Nenhuma Atividade industrial será permitida nos Setores Especiais de Interesse de Conservação de Morros (SE-04) e de Conservação de Várzeas (SE-05)</t>
  </si>
  <si>
    <t>Permitido, quando vinculada a atividade agrosilvopastoril e condicionado a parecer favorável do órgão ambiental municipal</t>
  </si>
  <si>
    <t>INDÚSTRIA DE TRANSFORMAÇÃO - Fabricação de Bebidas - todos</t>
  </si>
  <si>
    <t>INDÚSTRIA DE TRANSFORMAÇÃO - Fabricação de Produtos de Fumo - todos</t>
  </si>
  <si>
    <t>INDÚSTRIA DE TRANSFORMAÇÃO - Fabricação de Produtos Têxteis - todos</t>
  </si>
  <si>
    <t>INDÚSTRIA DE TRANSFORMAÇÃO - Confecçãode Artigosde Vestuário e Acessórios - todos</t>
  </si>
  <si>
    <t>INDÚSTRIA DE TRANSFORMAÇÃO - Preparação de Couros e Fabricação de Artefatos de Couro - todos</t>
  </si>
  <si>
    <t>INDÚSTRIA DE TRANSFORMAÇÃO - Fabricação de Produtos de Madeira - todos</t>
  </si>
  <si>
    <t>INDÚSTRIA DE TRANSFORMAÇÃO - Fabricação de Celulose, Papel e Produtos do Papel - todos</t>
  </si>
  <si>
    <t>INDÚSTRIA DE TRANSFORMAÇÃO - Impressão e Reprodução de Gravações - todos</t>
  </si>
  <si>
    <t>INDÚSTRIA DE TRANSFORMAÇÃO - Fabricação de Coque, de Produtos Derivados de Petróleo e de Biocombustíveis. - todos</t>
  </si>
  <si>
    <t>INDÚSTRIA DE TRANSFORMAÇÃO - Fabricação de Produtos Químicos - todos</t>
  </si>
  <si>
    <t>INDÚSTRIA DE TRANSFORMAÇÃO - Fabricação de Produtos Farmoquímicos e Farmacêuticos - todos</t>
  </si>
  <si>
    <t>INDÚSTRIA DE TRANSFORMAÇÃO - Fabricação de Produtos de Borracha e de Material Plástico - todos</t>
  </si>
  <si>
    <t>INDÚSTRIA DE TRANSFORMAÇÃO - Fabricação de Produtos de Minerais não metalicos - todos</t>
  </si>
  <si>
    <t>INDÚSTRIA DE TRANSFORMAÇÃO - Metalurgia - todos</t>
  </si>
  <si>
    <t>INDÚSTRIA DE TRANSFORMAÇÃO - Fabricação de Produtos de Metal, exceto Máquinas e Equipamentos. - todos</t>
  </si>
  <si>
    <t>INDÚSTRIA DE TRANSFORMAÇÃO - Fabricação de equipamentos de Informática, Produtos Eletrônicos e Ópticos. - todos</t>
  </si>
  <si>
    <t>INDÚSTRIA DE TRANSFORMAÇÃO - Fabricação de máquinas, Aparelhos e materiais Elétricos. - todos</t>
  </si>
  <si>
    <t>INDÚSTRIA DE TRANSFORMAÇÃO - Fabricação de Veículos Automotores, Reboques e Carrocerias. - todos</t>
  </si>
  <si>
    <t>INDÚSTRIA DE TRANSFORMAÇÃO - Fabricação de outros Equipamentos de Transportes, exceto Veículos Automotores. - todos</t>
  </si>
  <si>
    <t>INDÚSTRIA DE TRANSFORMAÇÃO - Fabricação de móveis - todos</t>
  </si>
  <si>
    <t>INDÚSTRIA DE TRANSFORMAÇÃO - Fabricação de Produtos Diversos - todos</t>
  </si>
  <si>
    <t>INDÚSTRIA DE TRANSFORMAÇÃO - Manutenção, Reparação e Instalação de Máquinas e Equipamentos. - todos</t>
  </si>
  <si>
    <t>INFRAESTRUTURA - Geração, Transmissão e Distribuição de Energia - todos</t>
  </si>
  <si>
    <t>Permitido, condicionado parecer favorável do órgão ambiental competente</t>
  </si>
  <si>
    <t>INFRAESTRUTURA - Captação, Tratamento e Distribuição de Água - todos</t>
  </si>
  <si>
    <t>INFRAESTRUTURA - Coleta, Tratamento e Disposição de Resíduos Líquidos - todos</t>
  </si>
  <si>
    <t>INFRAESTRUTURA - Coleta, Tratamento e Disposição de Resíduos Sólidos - todos</t>
  </si>
  <si>
    <t>INFRAESTRUTURA - Descontaminação e Outros Serviços de Gestão de Resíduos - todos</t>
  </si>
  <si>
    <t>texto</t>
  </si>
  <si>
    <t>categoria</t>
  </si>
  <si>
    <t>Em todos os Setores de Adensamento Prioritário, no Setor Especial de Interesse Público (SE-02) e nas Faixas Viárias (FV) e Setores Especiais de Centralidade Urbana (SE-08) dos demais setores, é possível ampliar em 50% (cinquenta por cento) os índices de coeficiente de aproveitamento do lote, quando da utilização dos seguintes instrumentos de promoção do desenvolvimento urbano: Transferência do Direito de Construir ou Outorga Onerosa do Direito de Construir, conforme Art. 79 desta Lei Complementar.</t>
  </si>
  <si>
    <t>Nas edificações construídas na forma do Art. 62 desta Lei Complementar, incisos II e V, deverá ser observado o Art. 66 desta Lei Complementar.</t>
  </si>
  <si>
    <t>Nos Setores Especiais de Interesse Cultural (SE-01) a definição dos índices de ocupação do solo será através de parecer da Fundação Cultural de Joinville, com base em legislação específica referente a proteção e preservação do patrimônio cultural de Joinville, respeitado os índices máximos descritos neste anexo, conforme Art. 2º, inciso LXXIV, desta Lei Complementar.</t>
  </si>
  <si>
    <t>Fica facultado a construção de embasamentos, junto às divisas laterais e de fundos, com até 9m (nove metros) de altura, já considerada a definição de ponto máximo de telhado, muros ou platibandas, ocupar 50% (cinquenta por cento) das divisas laterais e 100% (cem por cento) da divisa de fundos do lote, numa extensão máxima de 50% (cinquenta por cento) do perímetro do lote, respeitado o Recuo Frontal obrigatório, conforme art. 73, § 4º desta Lei Complementar.</t>
  </si>
  <si>
    <t>Nas Faixas Viárias situadas nos Setores de Adensamento Prioritário (SA-01) e Setores Especiais de Centralidade Urbana (SE-08), o gabarito máximo será de 45m (quarenta e cinco metros), e nos Setores de Adensamento Prioritário (SA-02), o gabarito máximo será de 30m (trinta metros).</t>
  </si>
  <si>
    <t>Quando uma Faixa Viária interceptar a Área Urbana de Adensamento Especial a delimitação física da Faixa Viária será determinada pelo perímetro do imóvel que possui sua testada para a via que originou a Faixa Viária, conforme Art. 13, § 4º desta Lei Complementar.</t>
  </si>
  <si>
    <t>fica facultado as edificações localizadas no Setor Especial de Interesse Cultural - Centro Histórico (SE -01) e nas Faixas Viárias, que ocupar o alinhamento do terreno, com até 9 metros de altura, já considerada a edificação do ponto máximo de telhado, muros ou platibandas, desde que façam uso de fachadas dativas.</t>
  </si>
  <si>
    <t>A taxa de permeabilidade poderá ser convertida em sistema de contenção de águas pluviais, conforme regulamentação específica (Art. 76, § 2º desta Lei Complementar).</t>
  </si>
  <si>
    <t>Os lotes contidos na Área Urbana de Proteção Ambiental (AUPA), registrados nos termos da lei, antes de 27 de março de 1996, cujas áreas sejam inferiores a 3.600,00 m² (três mil e seiscentos metros quadrados), serão passíveis de edificação, desde que: I - respeitem a taxa máxima de ocupação do lote de 60% (sessenta por cento) para lotes com até 360,00 m² (trezentos e sessenta metros quadrados); 45% (quarenta e cinco por cento), para lotes com área maior que 360,00 m² (trezentos e sessenta metros quadrados) e menor que 1.500,00 m² (mil e quinhentos metros quadrados), 30% (trinta por cento), para lotes com área maior que 1.500,00 m² (mil e quinhentos metros quadrados) e menor que 3.600,00 m² (três mil e seiscentos metros quadrados) e acima desta medida, conforme o disposto no Anexo IV - Quadro de Usos Admitidos e Índices Urbanísticos de Ocupação, parte integrantes desta Lei Complementar; II - respeitem o gabarito máximo de 2 (dois) pavimentos; III - respeitem o recuo frontal mínimo de 5,00m (cinco metros), e afastamentos laterais e de fundos mínimos de 1,50m (um metro e cinquenta centímetros).</t>
  </si>
  <si>
    <t>Os lotes contidos no Setor Especial de Interesse de Conservação de Morros (SE-04), registrados nos termos da lei, antes de 27 de março de 1996, cujas áreas sejam inferiores a 3.600,00 m² (três mil e seiscentos metros quadrados), serão passíveis de edificação, desde que: I - respeitem a taxa máxima de ocupação do lote de 60% (sessenta por cento) para lotes com até 360,00 m² (trezentos e sessenta metros quadrados); 45% (quarenta e cinco por cento), para lotes com área maior que 360,00 m² (trezentos e sessenta metros quadrados) e menor que 1.500,00 m² (mil e quinhentos metros quadrados), 30% (trinta por cento), para lotes com área maior que 1.500,00 m² (mil e quinhentos metros quadrados) e menor que 3.600,00 m² (três mil e seiscentos metros quadrados) e acima desta medida, conforme o disposto no Anexo IV - Quadro de Usos Admitidos e Índices Urbanísticos de Ocupação, parte integrantes desta Lei Complementar; II - respeitem o gabarito máximo de 2 (dois) pavimentos; III - respeitem o recuo frontal mínimo de 5,00m (cinco metros), e afastamentos laterais e de fundos mínimos de 1,50m (um metro e cinquenta centímetros).</t>
  </si>
  <si>
    <t>Quando do uso residencial será solicitado, no mínimo, 01 vaga de guarda de veículo para cada Unidade Autônoma, conforme Art. 77, § 2º desta Lei Complementar. No caso de uso residencial multifamiliar, conforme § 3º do mesmo artigo, vinculado a programas habitacionais oficiais de interesse social ou cuja unidade habitacional tenha apenas um único dormitório, será solicitado 1 (uma) vaga para cada duas unidades autônomas.</t>
  </si>
  <si>
    <t>Fica facultado às edificações localizadas no Setor Especial de Interesse Cultural – Centro Histórico (SE-01), ocupar 100% (cem por cento) da área do terreno com o embasamento, desde que respeitadas as demais restrições legais, conforme Art. 71, parágrafo único desta Lei Complementar.</t>
  </si>
  <si>
    <t>Nas Faixas Rodoviárias (FR) e nos Setores Especiais de Interesse Industrial (SE-06), a altura máxima permitida, para uso exclusivamente industrial ou galpões de logística, poderá sofrer alterações no seu gabarito máximo, mediante a apresentação de justificativa técnica à Comissão de Parcelamento, Uso e Ocupação do Solo, referente à necessidade de gabarito diferenciado em virtude do seu processo produtivo, conforme Art. 67, § 5o desta Lei Complementar.</t>
  </si>
  <si>
    <t>Quanto a edificações com características especiais, tais como torres de templos religiosos, torres de unidades de segurança pública e torres de transmissão, a altura máxima permitida poderá sofrer alterações, mediante a apresentação de justificativa técnica ou cultural à Comissão de Parcelamento, Uso e Ocupação do Solo, conforme art. 67, § 6º desta Lei Complementar.</t>
  </si>
  <si>
    <t>A reserva de vagas de guarda de veículo para estabelecimentos comerciais, industriais e prestadores de serviços é facultativa, e os índices previstos neste quadro são apenas referenciais para o cálculo das vagas que deverão ser reservadas para idosos e pessoas com deficiência, conforme Art. 77, § 4° desta Lei Complementar.</t>
  </si>
  <si>
    <t>Índices urbanísticos definidos por Lei Específica.</t>
  </si>
  <si>
    <t>Em todos os Setores de Adensamento Prioritário, no Setor Especial de Interesse Público (SE-02) e nas Faixas Viárias (FV) e Setores Especiais de Centralidade Urbana (SE-08) dos demais setores, é possível ampliar em 50% (cinquenta por cento) a altura máxima da edificação, quando da utilização dos seguintes instrumentos de promoção do desenvolvimento urbano: Transferência do Direito de Construir ou Outorga Onerosa do Direito de Construir, conforme Art. 81 desta Lei Complementar.</t>
  </si>
  <si>
    <t>Fica facultado às edificações com até 9m (nove metros) de altura, já considerada a definição de ponto máximo de telhado, muros ou platibandas, ocupar as divisas laterais e/ou fundos do lote, numa extensão máxima de 35% (trinta e cinco por cento) do perímetro do lote, respeitado o Recuo Frontal obrigatório, conforme Art. 73, § 2°, desta Lei Complementar.</t>
  </si>
  <si>
    <t>Os lotes contidos na Área Rural, escriturados e registrados nos termos da lei, e cujas áreas são inferiores a 20.000 m² (vinte mil metros quadrados), serão enquadrados, para efeito de ocupação do lote, como Área Urbana de Adensamento Controlado (AUAC), devendo respeitar uma taxa máxima de ocupação de 10% da área do lote, acrescida de 180 m² (cento e oitenta metros quadrados), conforme parágrafo único do Art. 5º.</t>
  </si>
  <si>
    <t>Nas vias fora das faixas viárias, nas Áreas Urbanas de Adensamento Secundário SA-03, não será permitido o instrumento da outorga onerosa prevista no Art. 79 desta Lei Complementar.</t>
  </si>
  <si>
    <t>Fica facultado às edificações localizadas nas áreas urbanas de Adensamento Secundário e Adensamento Especial ocupado até 50% (cinquenta por cento) e das divisas laterais e 100% (cem por cento) de fundos com o embasamento.</t>
  </si>
  <si>
    <t>Fica facultado às edificações localizadas nos imóveis lindeiros à via que deu origem às faixas viárias localizadas nas áreas urbanas de Adensamento Controlado ocupar até 50% (cinquenta por cento) das divisas laterais e 100% (cem por cento) de fundos com o embasamento.</t>
  </si>
  <si>
    <t>No Setor de Adensamento Controlado “Nova Brasilia” o Gabarito Máximo será 9 m² (nove), contados do Perfil Natural do Terreno – PNT ao limite máximo de altura, incluindo a cobertura ou caixa d’ água.</t>
  </si>
  <si>
    <t>São considerados veículos de grande porte aqueles com comprimento total nominal (especificado pelo fabricante) maior que 8600 mm (oito metros e sessenta centímetros) e/ou capacidade de carga superior a 10ton (dez toneladas)</t>
  </si>
  <si>
    <t>Não será permitido o estacionamento de veículos de carga ou de transporte de passageiros nas vias públicas, devendo o empreendedor comprovar espaço para a guarda destes veículos</t>
  </si>
  <si>
    <t>A atividade CNAE 52 (Estacionamentos) de pequeno, médio e grande porte, será permitida em todos os setores, exceto nos Setores Especiais de Interesse de Conservação de Morros (SE-04) e de Conservação de Várzeas (SE-05)</t>
  </si>
  <si>
    <t>Edifícios garagens deverão ter estabelecimentos comerciais ou de prestação de serviços em sua fachada térrea, obrigatoriamente.</t>
  </si>
  <si>
    <t>Edificações, caracterizadas como torres de transmissão de dados, são permitidas em todas as Macrozonas Urbanas e Rurais, mediante parecer favorável do órgão ambiental competente.</t>
  </si>
  <si>
    <t>As atividades relativas aos depósitos e postos de derivados de petróleo ficam sujeitos a análise do órgão de planejamento quanto ao impacto no sistema viário.”</t>
  </si>
  <si>
    <t>As atividades de Médio e Grande Porte, quando localizadas no Setor Especial de Interesse Educacional – SE-03, destinados aos equipamentos de educação superior e desenvolvimento tecnológico, são permitidas mediante parecer favorável do órgão de planejamento competente.</t>
  </si>
  <si>
    <t>Permitido o uso 9491-0 Atividades de Organizações Religiosas, quando de médio porte em todas as Áreas, Setores ou Faixas, exceto nos Setores Especiais de Interesse de Conservação dos Morros (SE - 04) e Setores Especiais de Interesse de Conservação de Várzeas (SE - 05). (NR)</t>
  </si>
  <si>
    <t>Permitido as atividades CNAE 23.30.3.01, 23.30.3.02, 23.30.3.05, 23.91.5.01 e 23.99.1.99, desde que a matéria prima destinada a fabricação dos produtos provenham de jazidas do mesmo titular/requerente e sujeito ainda a parecer favorável do órgão ambiental.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</si>
</sst>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4">
    <font>
      <sz val="11.0"/>
      <color theme="1"/>
      <name val="Aptos Narrow"/>
      <scheme val="minor"/>
    </font>
    <font>
      <color theme="1"/>
      <name val="Aptos Narrow"/>
      <scheme val="minor"/>
    </font>
    <font>
      <b/>
      <sz val="10.0"/>
      <color theme="1"/>
      <name val="Aptos Mono"/>
    </font>
    <font>
      <sz val="10.0"/>
      <color theme="1"/>
      <name val="Aptos Mono"/>
    </font>
    <font>
      <sz val="10.0"/>
      <color rgb="FF000000"/>
      <name val="Aptos Mono"/>
    </font>
    <font>
      <sz val="11.0"/>
      <color theme="1"/>
      <name val="Aptos Narrow"/>
    </font>
    <font>
      <sz val="11.0"/>
      <color theme="1"/>
      <name val="Arial"/>
    </font>
    <font>
      <color rgb="FFFFFFFF"/>
      <name val="Aptos Narrow"/>
      <scheme val="minor"/>
    </font>
    <font>
      <sz val="11.0"/>
      <color rgb="FFFFFFFF"/>
      <name val="Aptos Narrow"/>
    </font>
    <font>
      <b/>
      <sz val="11.0"/>
      <color theme="0"/>
      <name val="Aptos Narrow"/>
    </font>
    <font>
      <sz val="11.0"/>
      <color rgb="FF000000"/>
      <name val="Aptos Narrow"/>
    </font>
    <font>
      <b/>
      <sz val="10.0"/>
      <color rgb="FFFFFFFF"/>
      <name val="Aptos Mono"/>
    </font>
    <font>
      <b/>
      <sz val="10.0"/>
      <color theme="0"/>
      <name val="Aptos Mono"/>
    </font>
    <font>
      <sz val="10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theme="6"/>
        <bgColor theme="6"/>
      </patternFill>
    </fill>
    <fill>
      <patternFill patternType="solid">
        <fgColor theme="7"/>
        <bgColor theme="7"/>
      </patternFill>
    </fill>
    <fill>
      <patternFill patternType="solid">
        <fgColor rgb="FFCAEDFB"/>
        <bgColor rgb="FFCAEDFB"/>
      </patternFill>
    </fill>
    <fill>
      <patternFill patternType="solid">
        <fgColor theme="0"/>
        <bgColor theme="0"/>
      </patternFill>
    </fill>
  </fills>
  <borders count="3">
    <border/>
    <border>
      <left/>
      <right/>
      <top/>
      <bottom/>
    </border>
    <border>
      <top style="thin">
        <color theme="6"/>
      </top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vertical="center"/>
    </xf>
    <xf borderId="0" fillId="0" fontId="3" numFmtId="0" xfId="0" applyAlignment="1" applyFont="1">
      <alignment vertical="center"/>
    </xf>
    <xf borderId="0" fillId="0" fontId="3" numFmtId="0" xfId="0" applyAlignment="1" applyFont="1">
      <alignment shrinkToFit="0" vertical="center" wrapText="1"/>
    </xf>
    <xf borderId="0" fillId="0" fontId="4" numFmtId="0" xfId="0" applyAlignment="1" applyFont="1">
      <alignment shrinkToFit="0" wrapText="1"/>
    </xf>
    <xf borderId="0" fillId="0" fontId="3" numFmtId="0" xfId="0" applyFont="1"/>
    <xf borderId="0" fillId="0" fontId="5" numFmtId="0" xfId="0" applyAlignment="1" applyFont="1">
      <alignment horizontal="center"/>
    </xf>
    <xf borderId="0" fillId="0" fontId="5" numFmtId="0" xfId="0" applyAlignment="1" applyFont="1">
      <alignment horizontal="center" vertical="center"/>
    </xf>
    <xf borderId="0" fillId="0" fontId="5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center" readingOrder="0" vertical="center"/>
    </xf>
    <xf borderId="0" fillId="0" fontId="7" numFmtId="0" xfId="0" applyFont="1"/>
    <xf borderId="0" fillId="0" fontId="8" numFmtId="164" xfId="0" applyAlignment="1" applyFont="1" applyNumberFormat="1">
      <alignment horizontal="center"/>
    </xf>
    <xf borderId="0" fillId="0" fontId="8" numFmtId="0" xfId="0" applyAlignment="1" applyFont="1">
      <alignment horizontal="center"/>
    </xf>
    <xf borderId="0" fillId="0" fontId="8" numFmtId="0" xfId="0" applyAlignment="1" applyFont="1">
      <alignment horizontal="center" vertical="center"/>
    </xf>
    <xf borderId="0" fillId="0" fontId="1" numFmtId="0" xfId="0" applyFont="1"/>
    <xf borderId="0" fillId="0" fontId="5" numFmtId="164" xfId="0" applyAlignment="1" applyFont="1" applyNumberFormat="1">
      <alignment horizontal="center"/>
    </xf>
    <xf borderId="0" fillId="0" fontId="5" numFmtId="0" xfId="0" applyAlignment="1" applyFont="1">
      <alignment horizontal="center"/>
    </xf>
    <xf borderId="0" fillId="0" fontId="5" numFmtId="0" xfId="0" applyAlignment="1" applyFont="1">
      <alignment horizontal="center" vertical="center"/>
    </xf>
    <xf borderId="1" fillId="2" fontId="5" numFmtId="0" xfId="0" applyBorder="1" applyFill="1" applyFont="1"/>
    <xf borderId="1" fillId="2" fontId="5" numFmtId="164" xfId="0" applyAlignment="1" applyBorder="1" applyFont="1" applyNumberFormat="1">
      <alignment horizontal="center"/>
    </xf>
    <xf borderId="1" fillId="2" fontId="5" numFmtId="0" xfId="0" applyAlignment="1" applyBorder="1" applyFont="1">
      <alignment horizontal="center"/>
    </xf>
    <xf borderId="1" fillId="2" fontId="5" numFmtId="0" xfId="0" applyBorder="1" applyFont="1"/>
    <xf borderId="0" fillId="0" fontId="5" numFmtId="164" xfId="0" applyAlignment="1" applyFont="1" applyNumberFormat="1">
      <alignment horizontal="center"/>
    </xf>
    <xf borderId="1" fillId="3" fontId="9" numFmtId="0" xfId="0" applyAlignment="1" applyBorder="1" applyFill="1" applyFont="1">
      <alignment horizontal="center"/>
    </xf>
    <xf borderId="2" fillId="0" fontId="5" numFmtId="0" xfId="0" applyAlignment="1" applyBorder="1" applyFont="1">
      <alignment horizontal="center"/>
    </xf>
    <xf borderId="2" fillId="0" fontId="5" numFmtId="164" xfId="0" applyAlignment="1" applyBorder="1" applyFont="1" applyNumberFormat="1">
      <alignment horizontal="center"/>
    </xf>
    <xf borderId="0" fillId="0" fontId="10" numFmtId="0" xfId="0" applyAlignment="1" applyFont="1">
      <alignment horizontal="center"/>
    </xf>
    <xf borderId="0" fillId="0" fontId="11" numFmtId="0" xfId="0" applyAlignment="1" applyFont="1">
      <alignment horizontal="center" vertical="center"/>
    </xf>
    <xf borderId="0" fillId="0" fontId="12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4" fontId="11" numFmtId="0" xfId="0" applyAlignment="1" applyFill="1" applyFont="1">
      <alignment horizontal="center" vertical="center"/>
    </xf>
    <xf borderId="0" fillId="5" fontId="13" numFmtId="0" xfId="0" applyAlignment="1" applyFill="1" applyFont="1">
      <alignment horizontal="center" readingOrder="0" vertical="center"/>
    </xf>
    <xf borderId="0" fillId="5" fontId="3" numFmtId="0" xfId="0" applyAlignment="1" applyFont="1">
      <alignment horizontal="center" vertical="center"/>
    </xf>
    <xf borderId="0" fillId="5" fontId="3" numFmtId="0" xfId="0" applyAlignment="1" applyFont="1">
      <alignment horizontal="center" shrinkToFit="0" vertical="center" wrapText="1"/>
    </xf>
    <xf borderId="0" fillId="6" fontId="3" numFmtId="0" xfId="0" applyAlignment="1" applyFill="1" applyFont="1">
      <alignment horizontal="center" vertical="center"/>
    </xf>
    <xf borderId="0" fillId="6" fontId="3" numFmtId="0" xfId="0" applyAlignment="1" applyFont="1">
      <alignment horizontal="center" shrinkToFit="0" vertical="center" wrapText="1"/>
    </xf>
    <xf borderId="0" fillId="6" fontId="13" numFmtId="0" xfId="0" applyAlignment="1" applyFont="1">
      <alignment horizontal="center" readingOrder="0" vertical="center"/>
    </xf>
    <xf borderId="1" fillId="5" fontId="3" numFmtId="0" xfId="0" applyAlignment="1" applyBorder="1" applyFont="1">
      <alignment horizontal="center" vertical="center"/>
    </xf>
    <xf borderId="1" fillId="6" fontId="3" numFmtId="0" xfId="0" applyAlignment="1" applyBorder="1" applyFont="1">
      <alignment horizontal="center" vertical="center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6"/>
          <bgColor theme="6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theme="8"/>
          <bgColor theme="8"/>
        </patternFill>
      </fill>
      <border/>
    </dxf>
    <dxf>
      <font/>
      <fill>
        <patternFill patternType="solid">
          <fgColor rgb="FFF1CEEE"/>
          <bgColor rgb="FFF1CEEE"/>
        </patternFill>
      </fill>
      <border/>
    </dxf>
  </dxfs>
  <tableStyles count="10">
    <tableStyle count="3" pivot="0" name="CAL-style">
      <tableStyleElement dxfId="1" type="headerRow"/>
      <tableStyleElement dxfId="2" type="firstRowStripe"/>
      <tableStyleElement dxfId="2" type="secondRowStripe"/>
    </tableStyle>
    <tableStyle count="3" pivot="0" name="GABARITO-style">
      <tableStyleElement dxfId="1" type="headerRow"/>
      <tableStyleElement dxfId="2" type="firstRowStripe"/>
      <tableStyleElement dxfId="2" type="secondRowStripe"/>
    </tableStyle>
    <tableStyle count="3" pivot="0" name="Q.A-style">
      <tableStyleElement dxfId="1" type="headerRow"/>
      <tableStyleElement dxfId="2" type="firstRowStripe"/>
      <tableStyleElement dxfId="2" type="secondRowStripe"/>
    </tableStyle>
    <tableStyle count="3" pivot="0" name="TO-style">
      <tableStyleElement dxfId="1" type="headerRow"/>
      <tableStyleElement dxfId="2" type="firstRowStripe"/>
      <tableStyleElement dxfId="2" type="secondRowStripe"/>
    </tableStyle>
    <tableStyle count="3" pivot="0" name="RECUO-style">
      <tableStyleElement dxfId="1" type="headerRow"/>
      <tableStyleElement dxfId="2" type="firstRowStripe"/>
      <tableStyleElement dxfId="2" type="secondRowStripe"/>
    </tableStyle>
    <tableStyle count="3" pivot="0" name="REC.L.F-style">
      <tableStyleElement dxfId="1" type="headerRow"/>
      <tableStyleElement dxfId="2" type="firstRowStripe"/>
      <tableStyleElement dxfId="2" type="secondRowStripe"/>
    </tableStyle>
    <tableStyle count="3" pivot="0" name="TP-style">
      <tableStyleElement dxfId="1" type="headerRow"/>
      <tableStyleElement dxfId="2" type="firstRowStripe"/>
      <tableStyleElement dxfId="2" type="secondRowStripe"/>
    </tableStyle>
    <tableStyle count="3" pivot="0" name="Vaga-style">
      <tableStyleElement dxfId="1" type="headerRow"/>
      <tableStyleElement dxfId="2" type="firstRowStripe"/>
      <tableStyleElement dxfId="2" type="secondRowStripe"/>
    </tableStyle>
    <tableStyle count="3" pivot="0" name="EMBASAMENTO-style">
      <tableStyleElement dxfId="1" type="headerRow"/>
      <tableStyleElement dxfId="2" type="firstRowStripe"/>
      <tableStyleElement dxfId="2" type="secondRowStripe"/>
    </tableStyle>
    <tableStyle count="3" pivot="0" name="USOS-style">
      <tableStyleElement dxfId="3" type="headerRow"/>
      <tableStyleElement dxfId="4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22" Type="http://customschemas.google.com/relationships/workbookmetadata" Target="metadata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J54" displayName="Table_1" name="Table_1" id="1">
  <tableColumns count="10">
    <tableColumn name="macrozona" id="1"/>
    <tableColumn name="setor" id="2"/>
    <tableColumn name="cal" id="3"/>
    <tableColumn name="obs_setor" id="4"/>
    <tableColumn name="obs_coef" id="5"/>
    <tableColumn name="obs_geral" id="6"/>
    <tableColumn name="obs_tabela" id="7"/>
    <tableColumn name="cal_id" id="8"/>
    <tableColumn name="cal_macrozona_id" id="9"/>
    <tableColumn name="cal_setor_id" id="10"/>
  </tableColumns>
  <tableStyleInfo name="CAL-style" showColumnStripes="0" showFirstColumn="1" showLastColumn="1" showRowStripes="1"/>
</table>
</file>

<file path=xl/tables/table2.xml><?xml version="1.0" encoding="utf-8"?>
<table xmlns="http://schemas.openxmlformats.org/spreadsheetml/2006/main" ref="A1:J54" displayName="Table_2" name="Table_2" id="2">
  <tableColumns count="10">
    <tableColumn name="macrozona" id="1"/>
    <tableColumn name="setor" id="2"/>
    <tableColumn name="gabarito" id="3"/>
    <tableColumn name="obs_setor" id="4"/>
    <tableColumn name="obs_coef" id="5"/>
    <tableColumn name="obs_geral" id="6"/>
    <tableColumn name="obs_tabela" id="7"/>
    <tableColumn name="gab_id" id="8"/>
    <tableColumn name="gab_macrozona_id" id="9"/>
    <tableColumn name="gab_setor_id" id="10"/>
  </tableColumns>
  <tableStyleInfo name="GABARITO-style" showColumnStripes="0" showFirstColumn="1" showLastColumn="1" showRowStripes="1"/>
</table>
</file>

<file path=xl/tables/table3.xml><?xml version="1.0" encoding="utf-8"?>
<table xmlns="http://schemas.openxmlformats.org/spreadsheetml/2006/main" ref="A1:J69" displayName="Table_3" name="Table_3" id="3">
  <tableColumns count="10">
    <tableColumn name="macrozona" id="1"/>
    <tableColumn name="setor" id="2"/>
    <tableColumn name="quota" id="3"/>
    <tableColumn name="obs_setor" id="4"/>
    <tableColumn name="obs_coef" id="5"/>
    <tableColumn name="obs_geral" id="6"/>
    <tableColumn name="obs_tabela" id="7"/>
    <tableColumn name="quota_id" id="8"/>
    <tableColumn name="quota_macrozona_id" id="9"/>
    <tableColumn name="quota_setor_id" id="10"/>
  </tableColumns>
  <tableStyleInfo name="Q.A-style" showColumnStripes="0" showFirstColumn="1" showLastColumn="1" showRowStripes="1"/>
</table>
</file>

<file path=xl/tables/table4.xml><?xml version="1.0" encoding="utf-8"?>
<table xmlns="http://schemas.openxmlformats.org/spreadsheetml/2006/main" ref="A1:J120" displayName="Table_4" name="Table_4" id="4">
  <tableColumns count="10">
    <tableColumn name="macrozona" id="1"/>
    <tableColumn name="setor" id="2"/>
    <tableColumn name="TO" id="3"/>
    <tableColumn name="obs_setor" id="4"/>
    <tableColumn name="obs_coef" id="5"/>
    <tableColumn name="obs_geral" id="6"/>
    <tableColumn name="obs_tabela" id="7"/>
    <tableColumn name="ocupacao_id" id="8"/>
    <tableColumn name="ocupacao_macrozona_id" id="9"/>
    <tableColumn name="ocupacao_setor_id" id="10"/>
  </tableColumns>
  <tableStyleInfo name="TO-style" showColumnStripes="0" showFirstColumn="1" showLastColumn="1" showRowStripes="1"/>
</table>
</file>

<file path=xl/tables/table5.xml><?xml version="1.0" encoding="utf-8"?>
<table xmlns="http://schemas.openxmlformats.org/spreadsheetml/2006/main" ref="A1:J120" displayName="Table_5" name="Table_5" id="5">
  <tableColumns count="10">
    <tableColumn name="macrozona" id="1"/>
    <tableColumn name="setor" id="2"/>
    <tableColumn name="recuo" id="3"/>
    <tableColumn name="obs_setor" id="4"/>
    <tableColumn name="obs_coef" id="5"/>
    <tableColumn name="obs_geral" id="6"/>
    <tableColumn name="obs_tabela" id="7"/>
    <tableColumn name="recuo_id" id="8"/>
    <tableColumn name="recuo_macrozona_id" id="9"/>
    <tableColumn name="recuo_setor_id" id="10"/>
  </tableColumns>
  <tableStyleInfo name="RECUO-style" showColumnStripes="0" showFirstColumn="1" showLastColumn="1" showRowStripes="1"/>
</table>
</file>

<file path=xl/tables/table6.xml><?xml version="1.0" encoding="utf-8"?>
<table xmlns="http://schemas.openxmlformats.org/spreadsheetml/2006/main" ref="A1:M120" displayName="Table_6" name="Table_6" id="6">
  <tableColumns count="13">
    <tableColumn name="macrozona" id="1"/>
    <tableColumn name="setor" id="2"/>
    <tableColumn name="recuo_lateral" id="3"/>
    <tableColumn name="divisor" id="4"/>
    <tableColumn name="minimo" id="5"/>
    <tableColumn name="acrescimo" id="6"/>
    <tableColumn name="obs_setor" id="7"/>
    <tableColumn name="obs_coef" id="8"/>
    <tableColumn name="obs_geral" id="9"/>
    <tableColumn name="obs_tabela" id="10"/>
    <tableColumn name="recLF_id" id="11"/>
    <tableColumn name="recLF_macrozona_id" id="12"/>
    <tableColumn name="recLF_setor_id" id="13"/>
  </tableColumns>
  <tableStyleInfo name="REC.L.F-style" showColumnStripes="0" showFirstColumn="1" showLastColumn="1" showRowStripes="1"/>
</table>
</file>

<file path=xl/tables/table7.xml><?xml version="1.0" encoding="utf-8"?>
<table xmlns="http://schemas.openxmlformats.org/spreadsheetml/2006/main" ref="A1:J120" displayName="Table_7" name="Table_7" id="7">
  <tableColumns count="10">
    <tableColumn name="macrozona" id="1"/>
    <tableColumn name="setor" id="2"/>
    <tableColumn name="tp" id="3"/>
    <tableColumn name="obs_setor" id="4"/>
    <tableColumn name="obs_coef" id="5"/>
    <tableColumn name="obs_geral" id="6"/>
    <tableColumn name="obs_tabela" id="7"/>
    <tableColumn name="permeabilidade_id" id="8"/>
    <tableColumn name="permeabiliade_macrozona_id" id="9"/>
    <tableColumn name="permeabilidade_setor_id" id="10"/>
  </tableColumns>
  <tableStyleInfo name="TP-style" showColumnStripes="0" showFirstColumn="1" showLastColumn="1" showRowStripes="1"/>
</table>
</file>

<file path=xl/tables/table8.xml><?xml version="1.0" encoding="utf-8"?>
<table xmlns="http://schemas.openxmlformats.org/spreadsheetml/2006/main" ref="A1:K120" displayName="Table_8" name="Table_8" id="8">
  <tableColumns count="11">
    <tableColumn name="macrozona" id="1"/>
    <tableColumn name="setor" id="2"/>
    <tableColumn name="vaga_guarda" id="3"/>
    <tableColumn name="vaga_descarga" id="4"/>
    <tableColumn name="obs_setor" id="5"/>
    <tableColumn name="obs_coef" id="6"/>
    <tableColumn name="obs_geral" id="7"/>
    <tableColumn name="obs_tabela" id="8"/>
    <tableColumn name="vaga_id" id="9"/>
    <tableColumn name="vaga_macrozona_id" id="10"/>
    <tableColumn name="vaga_setor_id" id="11"/>
  </tableColumns>
  <tableStyleInfo name="Vaga-style" showColumnStripes="0" showFirstColumn="1" showLastColumn="1" showRowStripes="1"/>
</table>
</file>

<file path=xl/tables/table9.xml><?xml version="1.0" encoding="utf-8"?>
<table xmlns="http://schemas.openxmlformats.org/spreadsheetml/2006/main" ref="A1:I18" displayName="Table_9" name="Table_9" id="9">
  <tableColumns count="9">
    <tableColumn name="macrozona" id="1"/>
    <tableColumn name="setor" id="2"/>
    <tableColumn name="EMBASAMENTO" id="3"/>
    <tableColumn name="obs_setor" id="4"/>
    <tableColumn name="obs_coef" id="5"/>
    <tableColumn name="obs_geral" id="6"/>
    <tableColumn name="embasamento_id" id="7"/>
    <tableColumn name="embasamento_macrozona_id" id="8"/>
    <tableColumn name="embasamento_setor_id" id="9"/>
  </tableColumns>
  <tableStyleInfo name="EMBASAMENTO-style" showColumnStripes="0" showFirstColumn="1" showLastColumn="1" showRowStripes="1"/>
</table>
</file>

<file path=xl/tables/table10.xml><?xml version="1.0" encoding="utf-8"?>
<table xmlns="http://schemas.openxmlformats.org/spreadsheetml/2006/main" ref="A1:H79" displayName="Table_10" name="Table_10" id="10">
  <tableColumns count="8">
    <tableColumn name="tipo" id="1"/>
    <tableColumn name="subtipo" id="2"/>
    <tableColumn name="porte" id="3"/>
    <tableColumn name="cnae" id="4"/>
    <tableColumn name="obs" id="5"/>
    <tableColumn name="obs_tabela" id="6"/>
    <tableColumn name="usos_id" id="7"/>
    <tableColumn name="Coluna1" id="8"/>
  </tableColumns>
  <tableStyleInfo name="USO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1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2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3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4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5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6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3" Type="http://schemas.openxmlformats.org/officeDocument/2006/relationships/table" Target="../tables/table7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3" Type="http://schemas.openxmlformats.org/officeDocument/2006/relationships/table" Target="../tables/table8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Relationship Id="rId3" Type="http://schemas.openxmlformats.org/officeDocument/2006/relationships/table" Target="../tables/table9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Relationship Id="rId3" Type="http://schemas.openxmlformats.org/officeDocument/2006/relationships/table" Target="../tables/table10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9" width="17.75"/>
    <col customWidth="1" min="10" max="10" width="261.0"/>
    <col customWidth="1" min="11" max="11" width="17.63"/>
    <col customWidth="1" min="12" max="12" width="374.5"/>
    <col customWidth="1" min="13" max="26" width="17.75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14.25" customHeight="1">
      <c r="A2" s="1" t="s">
        <v>12</v>
      </c>
      <c r="B2" s="1">
        <v>60.0</v>
      </c>
      <c r="C2" s="1">
        <v>4.0</v>
      </c>
      <c r="D2" s="1">
        <v>45.0</v>
      </c>
      <c r="E2" s="1">
        <v>20.0</v>
      </c>
      <c r="F2" s="1">
        <v>5.0</v>
      </c>
      <c r="G2" s="1" t="s">
        <v>13</v>
      </c>
      <c r="H2" s="1" t="s">
        <v>13</v>
      </c>
      <c r="I2" s="1">
        <v>120.0</v>
      </c>
      <c r="J2" s="1" t="s">
        <v>14</v>
      </c>
      <c r="K2" s="1" t="s">
        <v>14</v>
      </c>
      <c r="L2" s="1" t="s">
        <v>14</v>
      </c>
    </row>
    <row r="3" ht="14.25" customHeight="1">
      <c r="A3" s="1" t="s">
        <v>15</v>
      </c>
      <c r="B3" s="1">
        <v>60.0</v>
      </c>
      <c r="C3" s="1">
        <v>1.0</v>
      </c>
      <c r="D3" s="1">
        <v>30.0</v>
      </c>
      <c r="E3" s="1">
        <v>20.0</v>
      </c>
      <c r="F3" s="1">
        <v>5.0</v>
      </c>
      <c r="I3" s="1">
        <v>50.0</v>
      </c>
      <c r="J3" s="1" t="s">
        <v>16</v>
      </c>
    </row>
    <row r="4" ht="14.25" customHeight="1">
      <c r="A4" s="1" t="s">
        <v>17</v>
      </c>
      <c r="B4" s="1">
        <v>60.0</v>
      </c>
      <c r="C4" s="1">
        <v>2.0</v>
      </c>
      <c r="D4" s="1">
        <v>15.0</v>
      </c>
      <c r="E4" s="1">
        <v>20.0</v>
      </c>
      <c r="F4" s="1">
        <v>5.0</v>
      </c>
      <c r="I4" s="1">
        <v>50.0</v>
      </c>
      <c r="J4" s="1" t="s">
        <v>16</v>
      </c>
    </row>
    <row r="5" ht="14.25" customHeight="1">
      <c r="A5" s="1" t="s">
        <v>18</v>
      </c>
      <c r="B5" s="1">
        <v>60.0</v>
      </c>
      <c r="C5" s="1">
        <v>1.0</v>
      </c>
      <c r="E5" s="1">
        <v>20.0</v>
      </c>
      <c r="F5" s="1">
        <v>5.0</v>
      </c>
      <c r="I5" s="1">
        <v>60.0</v>
      </c>
      <c r="J5" s="1" t="s">
        <v>16</v>
      </c>
      <c r="L5" s="1" t="s">
        <v>19</v>
      </c>
    </row>
    <row r="6" ht="14.25" customHeight="1">
      <c r="A6" s="1" t="s">
        <v>20</v>
      </c>
      <c r="B6" s="1">
        <v>60.0</v>
      </c>
      <c r="C6" s="1">
        <v>1.0</v>
      </c>
      <c r="D6" s="1">
        <v>15.0</v>
      </c>
      <c r="E6" s="1">
        <v>20.0</v>
      </c>
      <c r="F6" s="1">
        <v>5.0</v>
      </c>
      <c r="I6" s="1">
        <v>50.0</v>
      </c>
      <c r="J6" s="1" t="s">
        <v>21</v>
      </c>
    </row>
    <row r="7" ht="14.25" customHeight="1">
      <c r="A7" s="1" t="s">
        <v>22</v>
      </c>
      <c r="B7" s="1">
        <v>60.0</v>
      </c>
      <c r="C7" s="1">
        <v>1.0</v>
      </c>
      <c r="D7" s="1">
        <v>15.0</v>
      </c>
      <c r="E7" s="1">
        <v>20.0</v>
      </c>
      <c r="F7" s="1">
        <v>5.0</v>
      </c>
      <c r="I7" s="1">
        <v>50.0</v>
      </c>
      <c r="J7" s="1" t="s">
        <v>16</v>
      </c>
    </row>
    <row r="8" ht="14.25" customHeight="1">
      <c r="A8" s="1" t="s">
        <v>23</v>
      </c>
      <c r="B8" s="1">
        <v>60.0</v>
      </c>
      <c r="C8" s="1">
        <v>2.0</v>
      </c>
      <c r="D8" s="1">
        <v>15.0</v>
      </c>
      <c r="E8" s="1">
        <v>20.0</v>
      </c>
      <c r="F8" s="1">
        <v>5.0</v>
      </c>
      <c r="I8" s="1">
        <v>50.0</v>
      </c>
      <c r="J8" s="1" t="s">
        <v>16</v>
      </c>
    </row>
    <row r="9" ht="14.25" customHeight="1">
      <c r="A9" s="1" t="s">
        <v>24</v>
      </c>
      <c r="B9" s="1">
        <v>60.0</v>
      </c>
      <c r="C9" s="1">
        <v>4.0</v>
      </c>
      <c r="D9" s="1">
        <v>30.0</v>
      </c>
      <c r="E9" s="1">
        <v>20.0</v>
      </c>
      <c r="F9" s="1">
        <v>5.0</v>
      </c>
      <c r="I9" s="1">
        <v>50.0</v>
      </c>
      <c r="J9" s="1" t="s">
        <v>16</v>
      </c>
    </row>
    <row r="10" ht="14.25" customHeight="1">
      <c r="A10" s="1" t="s">
        <v>25</v>
      </c>
      <c r="B10" s="1">
        <v>60.0</v>
      </c>
      <c r="C10" s="1">
        <v>2.0</v>
      </c>
      <c r="D10" s="1">
        <v>15.0</v>
      </c>
      <c r="E10" s="1">
        <v>20.0</v>
      </c>
      <c r="F10" s="1">
        <v>5.0</v>
      </c>
      <c r="I10" s="1">
        <v>50.0</v>
      </c>
      <c r="J10" s="1" t="s">
        <v>16</v>
      </c>
    </row>
    <row r="11" ht="14.25" customHeight="1">
      <c r="A11" s="1" t="s">
        <v>26</v>
      </c>
      <c r="B11" s="1">
        <v>60.0</v>
      </c>
      <c r="C11" s="1">
        <v>1.0</v>
      </c>
      <c r="D11" s="1">
        <v>15.0</v>
      </c>
      <c r="E11" s="1">
        <v>20.0</v>
      </c>
      <c r="F11" s="1">
        <v>5.0</v>
      </c>
      <c r="I11" s="1">
        <v>50.0</v>
      </c>
      <c r="J11" s="1" t="s">
        <v>16</v>
      </c>
    </row>
    <row r="12" ht="14.25" customHeight="1">
      <c r="A12" s="1" t="s">
        <v>27</v>
      </c>
      <c r="B12" s="1">
        <v>60.0</v>
      </c>
      <c r="E12" s="1">
        <v>20.0</v>
      </c>
      <c r="F12" s="1">
        <v>5.0</v>
      </c>
      <c r="J12" s="1" t="s">
        <v>16</v>
      </c>
    </row>
    <row r="13" ht="14.25" customHeight="1">
      <c r="A13" s="1" t="s">
        <v>28</v>
      </c>
      <c r="B13" s="1">
        <v>60.0</v>
      </c>
      <c r="C13" s="1">
        <v>2.0</v>
      </c>
      <c r="E13" s="1">
        <v>20.0</v>
      </c>
      <c r="F13" s="1">
        <v>5.0</v>
      </c>
      <c r="I13" s="1">
        <v>50.0</v>
      </c>
      <c r="J13" s="1" t="s">
        <v>16</v>
      </c>
      <c r="L13" s="1" t="s">
        <v>19</v>
      </c>
    </row>
    <row r="14" ht="14.25" customHeight="1">
      <c r="A14" s="1" t="s">
        <v>29</v>
      </c>
      <c r="B14" s="1">
        <v>5.0</v>
      </c>
      <c r="C14" s="1" t="s">
        <v>30</v>
      </c>
      <c r="E14" s="1">
        <v>80.0</v>
      </c>
      <c r="F14" s="1">
        <v>10.0</v>
      </c>
      <c r="G14" s="1">
        <v>5.0</v>
      </c>
      <c r="H14" s="1">
        <v>5.0</v>
      </c>
      <c r="J14" s="1" t="s">
        <v>31</v>
      </c>
      <c r="L14" s="1" t="s">
        <v>32</v>
      </c>
    </row>
    <row r="15" ht="14.25" customHeight="1">
      <c r="A15" s="1" t="s">
        <v>33</v>
      </c>
      <c r="B15" s="1">
        <v>60.0</v>
      </c>
      <c r="C15" s="1">
        <v>4.0</v>
      </c>
      <c r="E15" s="1">
        <v>20.0</v>
      </c>
      <c r="F15" s="1">
        <v>5.0</v>
      </c>
      <c r="I15" s="1">
        <v>60.0</v>
      </c>
      <c r="J15" s="1" t="s">
        <v>16</v>
      </c>
      <c r="L15" s="1" t="s">
        <v>19</v>
      </c>
    </row>
    <row r="16" ht="14.25" customHeight="1">
      <c r="A16" s="1" t="s">
        <v>34</v>
      </c>
      <c r="B16" s="1">
        <v>60.0</v>
      </c>
      <c r="C16" s="1">
        <v>3.0</v>
      </c>
      <c r="D16" s="1">
        <v>25.0</v>
      </c>
      <c r="E16" s="1">
        <v>20.0</v>
      </c>
      <c r="F16" s="1">
        <v>5.0</v>
      </c>
      <c r="I16" s="1">
        <v>60.0</v>
      </c>
      <c r="J16" s="1" t="s">
        <v>16</v>
      </c>
    </row>
    <row r="17" ht="14.25" customHeight="1">
      <c r="A17" s="1" t="s">
        <v>35</v>
      </c>
      <c r="B17" s="1">
        <v>60.0</v>
      </c>
      <c r="C17" s="1">
        <v>2.0</v>
      </c>
      <c r="D17" s="1">
        <v>30.0</v>
      </c>
      <c r="E17" s="1">
        <v>20.0</v>
      </c>
      <c r="F17" s="1">
        <v>5.0</v>
      </c>
      <c r="I17" s="1">
        <v>50.0</v>
      </c>
      <c r="J17" s="1" t="s">
        <v>16</v>
      </c>
    </row>
    <row r="18" ht="14.25" customHeight="1">
      <c r="A18" s="1" t="s">
        <v>36</v>
      </c>
      <c r="B18" s="1">
        <v>60.0</v>
      </c>
      <c r="C18" s="1">
        <v>2.0</v>
      </c>
      <c r="D18" s="1">
        <v>15.0</v>
      </c>
      <c r="E18" s="1">
        <v>20.0</v>
      </c>
      <c r="F18" s="1">
        <v>5.0</v>
      </c>
      <c r="I18" s="1">
        <v>60.0</v>
      </c>
      <c r="J18" s="1" t="s">
        <v>16</v>
      </c>
    </row>
    <row r="19" ht="14.25" customHeight="1">
      <c r="A19" s="1" t="s">
        <v>37</v>
      </c>
      <c r="B19" s="1">
        <v>60.0</v>
      </c>
      <c r="C19" s="1">
        <v>4.0</v>
      </c>
      <c r="D19" s="1">
        <v>30.0</v>
      </c>
      <c r="E19" s="1">
        <v>20.0</v>
      </c>
      <c r="F19" s="1">
        <v>5.0</v>
      </c>
      <c r="I19" s="1">
        <v>60.0</v>
      </c>
      <c r="J19" s="1" t="s">
        <v>16</v>
      </c>
    </row>
    <row r="20" ht="14.25" customHeight="1">
      <c r="A20" s="1" t="s">
        <v>38</v>
      </c>
      <c r="B20" s="1">
        <v>60.0</v>
      </c>
      <c r="C20" s="1" t="s">
        <v>30</v>
      </c>
      <c r="D20" s="1">
        <v>9.0</v>
      </c>
      <c r="E20" s="1">
        <v>20.0</v>
      </c>
      <c r="F20" s="1">
        <v>5.0</v>
      </c>
      <c r="I20" s="1">
        <v>50.0</v>
      </c>
      <c r="J20" s="1" t="s">
        <v>16</v>
      </c>
    </row>
    <row r="21" ht="14.25" customHeight="1">
      <c r="A21" s="1" t="s">
        <v>39</v>
      </c>
      <c r="B21" s="1">
        <v>10.0</v>
      </c>
      <c r="C21" s="1" t="s">
        <v>30</v>
      </c>
      <c r="E21" s="1">
        <v>80.0</v>
      </c>
      <c r="F21" s="1">
        <v>10.0</v>
      </c>
      <c r="G21" s="1">
        <v>5.0</v>
      </c>
      <c r="H21" s="1">
        <v>5.0</v>
      </c>
      <c r="J21" s="1" t="s">
        <v>31</v>
      </c>
      <c r="L21" s="1" t="s">
        <v>32</v>
      </c>
    </row>
    <row r="22" ht="14.25" customHeight="1">
      <c r="A22" s="1" t="s">
        <v>40</v>
      </c>
      <c r="B22" s="1">
        <v>60.0</v>
      </c>
      <c r="C22" s="1" t="s">
        <v>30</v>
      </c>
      <c r="D22" s="1">
        <v>9.0</v>
      </c>
      <c r="E22" s="1">
        <v>20.0</v>
      </c>
      <c r="F22" s="1">
        <v>5.0</v>
      </c>
      <c r="I22" s="1">
        <v>50.0</v>
      </c>
      <c r="J22" s="1" t="s">
        <v>16</v>
      </c>
    </row>
    <row r="23" ht="14.25" customHeight="1">
      <c r="A23" s="1" t="s">
        <v>41</v>
      </c>
      <c r="B23" s="1">
        <v>60.0</v>
      </c>
      <c r="C23" s="1">
        <v>2.0</v>
      </c>
      <c r="D23" s="1">
        <v>15.0</v>
      </c>
      <c r="E23" s="1">
        <v>20.0</v>
      </c>
      <c r="F23" s="1">
        <v>5.0</v>
      </c>
      <c r="I23" s="1">
        <v>50.0</v>
      </c>
      <c r="J23" s="1" t="s">
        <v>16</v>
      </c>
    </row>
    <row r="24" ht="14.25" customHeight="1">
      <c r="A24" s="1" t="s">
        <v>42</v>
      </c>
      <c r="B24" s="1">
        <v>60.0</v>
      </c>
      <c r="C24" s="1" t="s">
        <v>13</v>
      </c>
      <c r="E24" s="1">
        <v>20.0</v>
      </c>
      <c r="F24" s="1">
        <v>5.0</v>
      </c>
      <c r="I24" s="1">
        <v>50.0</v>
      </c>
      <c r="J24" s="1" t="s">
        <v>16</v>
      </c>
      <c r="L24" s="1" t="s">
        <v>19</v>
      </c>
    </row>
    <row r="25" ht="14.25" customHeight="1">
      <c r="A25" s="1" t="s">
        <v>43</v>
      </c>
      <c r="B25" s="1">
        <v>10.0</v>
      </c>
      <c r="C25" s="1" t="s">
        <v>30</v>
      </c>
      <c r="E25" s="1">
        <v>80.0</v>
      </c>
      <c r="F25" s="1">
        <v>10.0</v>
      </c>
      <c r="G25" s="1">
        <v>5.0</v>
      </c>
      <c r="H25" s="1">
        <v>5.0</v>
      </c>
      <c r="J25" s="1" t="s">
        <v>44</v>
      </c>
      <c r="L25" s="1" t="s">
        <v>45</v>
      </c>
    </row>
    <row r="26" ht="14.25" customHeight="1">
      <c r="A26" s="1" t="s">
        <v>12</v>
      </c>
      <c r="B26" s="1">
        <v>60.0</v>
      </c>
      <c r="C26" s="1">
        <v>4.0</v>
      </c>
      <c r="D26" s="1">
        <v>45.0</v>
      </c>
      <c r="E26" s="1">
        <v>20.0</v>
      </c>
      <c r="F26" s="1">
        <v>5.0</v>
      </c>
      <c r="G26" s="1" t="s">
        <v>13</v>
      </c>
      <c r="H26" s="1" t="s">
        <v>13</v>
      </c>
      <c r="I26" s="1">
        <v>120.0</v>
      </c>
      <c r="J26" s="1" t="s">
        <v>14</v>
      </c>
      <c r="K26" s="1" t="s">
        <v>14</v>
      </c>
      <c r="L26" s="1" t="s">
        <v>14</v>
      </c>
    </row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4.38"/>
    <col customWidth="1" min="3" max="26" width="8.63"/>
  </cols>
  <sheetData>
    <row r="1" ht="14.25" customHeight="1">
      <c r="A1" s="1" t="s">
        <v>46</v>
      </c>
      <c r="B1" s="1" t="s">
        <v>47</v>
      </c>
    </row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8.25"/>
    <col customWidth="1" min="2" max="2" width="8.63"/>
    <col customWidth="1" min="3" max="3" width="51.75"/>
    <col customWidth="1" min="4" max="26" width="8.63"/>
  </cols>
  <sheetData>
    <row r="1" ht="14.25" customHeight="1">
      <c r="A1" s="2" t="s">
        <v>48</v>
      </c>
      <c r="C1" s="2" t="s">
        <v>48</v>
      </c>
    </row>
    <row r="2" ht="14.25" customHeight="1">
      <c r="A2" s="3" t="s">
        <v>49</v>
      </c>
      <c r="C2" s="3" t="s">
        <v>49</v>
      </c>
    </row>
    <row r="3" ht="14.25" customHeight="1">
      <c r="A3" s="3" t="s">
        <v>50</v>
      </c>
      <c r="C3" s="3" t="s">
        <v>50</v>
      </c>
    </row>
    <row r="4" ht="14.25" customHeight="1">
      <c r="A4" s="3" t="s">
        <v>51</v>
      </c>
      <c r="C4" s="3" t="s">
        <v>51</v>
      </c>
    </row>
    <row r="5" ht="14.25" customHeight="1">
      <c r="A5" s="3" t="s">
        <v>52</v>
      </c>
      <c r="C5" s="3" t="s">
        <v>52</v>
      </c>
    </row>
    <row r="6" ht="14.25" customHeight="1">
      <c r="A6" s="4" t="s">
        <v>53</v>
      </c>
      <c r="C6" s="4" t="s">
        <v>54</v>
      </c>
    </row>
    <row r="7" ht="14.25" customHeight="1">
      <c r="A7" s="4" t="s">
        <v>55</v>
      </c>
      <c r="C7" s="4" t="s">
        <v>56</v>
      </c>
    </row>
    <row r="8" ht="14.25" customHeight="1">
      <c r="A8" s="4" t="s">
        <v>57</v>
      </c>
      <c r="C8" s="4" t="s">
        <v>58</v>
      </c>
    </row>
    <row r="9" ht="14.25" customHeight="1">
      <c r="A9" s="4" t="s">
        <v>59</v>
      </c>
      <c r="C9" s="4" t="s">
        <v>60</v>
      </c>
    </row>
    <row r="10" ht="14.25" customHeight="1">
      <c r="A10" s="4" t="s">
        <v>61</v>
      </c>
      <c r="C10" s="4" t="s">
        <v>62</v>
      </c>
    </row>
    <row r="11" ht="14.25" customHeight="1">
      <c r="A11" s="4" t="s">
        <v>63</v>
      </c>
      <c r="C11" s="4" t="s">
        <v>64</v>
      </c>
    </row>
    <row r="12" ht="14.25" customHeight="1">
      <c r="A12" s="4" t="s">
        <v>65</v>
      </c>
      <c r="C12" s="4" t="s">
        <v>66</v>
      </c>
    </row>
    <row r="13" ht="14.25" customHeight="1">
      <c r="A13" s="4" t="s">
        <v>67</v>
      </c>
      <c r="C13" s="4" t="s">
        <v>68</v>
      </c>
    </row>
    <row r="14" ht="14.25" customHeight="1">
      <c r="A14" s="4" t="s">
        <v>69</v>
      </c>
      <c r="C14" s="4" t="s">
        <v>70</v>
      </c>
    </row>
    <row r="15" ht="14.25" customHeight="1">
      <c r="A15" s="4" t="s">
        <v>71</v>
      </c>
      <c r="C15" s="4" t="s">
        <v>72</v>
      </c>
    </row>
    <row r="16" ht="14.25" customHeight="1">
      <c r="A16" s="3" t="s">
        <v>73</v>
      </c>
      <c r="C16" s="3" t="s">
        <v>73</v>
      </c>
    </row>
    <row r="17" ht="14.25" customHeight="1">
      <c r="A17" s="4" t="s">
        <v>74</v>
      </c>
      <c r="C17" s="4" t="s">
        <v>75</v>
      </c>
    </row>
    <row r="18" ht="14.25" customHeight="1">
      <c r="A18" s="3" t="s">
        <v>76</v>
      </c>
      <c r="C18" s="3" t="s">
        <v>76</v>
      </c>
    </row>
    <row r="19" ht="14.25" customHeight="1">
      <c r="A19" s="3" t="s">
        <v>77</v>
      </c>
      <c r="C19" s="3" t="s">
        <v>77</v>
      </c>
    </row>
    <row r="20" ht="14.25" customHeight="1">
      <c r="A20" s="3" t="s">
        <v>78</v>
      </c>
      <c r="C20" s="3" t="s">
        <v>78</v>
      </c>
    </row>
    <row r="21" ht="14.25" customHeight="1">
      <c r="A21" s="4" t="s">
        <v>79</v>
      </c>
      <c r="C21" s="4" t="s">
        <v>80</v>
      </c>
    </row>
    <row r="22" ht="14.25" customHeight="1">
      <c r="A22" s="3" t="s">
        <v>81</v>
      </c>
      <c r="C22" s="3" t="s">
        <v>81</v>
      </c>
    </row>
    <row r="23" ht="14.25" customHeight="1">
      <c r="A23" s="4" t="s">
        <v>82</v>
      </c>
      <c r="C23" s="4" t="s">
        <v>83</v>
      </c>
    </row>
    <row r="24" ht="14.25" customHeight="1">
      <c r="A24" s="4" t="s">
        <v>84</v>
      </c>
      <c r="C24" s="4" t="s">
        <v>85</v>
      </c>
    </row>
    <row r="25" ht="14.25" customHeight="1">
      <c r="A25" s="3" t="s">
        <v>86</v>
      </c>
      <c r="C25" s="3" t="s">
        <v>86</v>
      </c>
    </row>
    <row r="26" ht="14.25" customHeight="1">
      <c r="A26" s="3" t="s">
        <v>87</v>
      </c>
      <c r="C26" s="3" t="s">
        <v>87</v>
      </c>
    </row>
    <row r="27" ht="14.25" customHeight="1">
      <c r="A27" s="3" t="s">
        <v>88</v>
      </c>
      <c r="C27" s="3" t="s">
        <v>88</v>
      </c>
    </row>
    <row r="28" ht="14.25" customHeight="1">
      <c r="A28" s="3" t="s">
        <v>89</v>
      </c>
      <c r="C28" s="3" t="s">
        <v>89</v>
      </c>
    </row>
    <row r="29" ht="14.25" customHeight="1">
      <c r="A29" s="4" t="s">
        <v>90</v>
      </c>
      <c r="C29" s="4" t="s">
        <v>91</v>
      </c>
    </row>
    <row r="30" ht="14.25" customHeight="1">
      <c r="A30" s="4" t="s">
        <v>92</v>
      </c>
      <c r="C30" s="4" t="s">
        <v>93</v>
      </c>
    </row>
    <row r="31" ht="14.25" customHeight="1">
      <c r="A31" s="3" t="s">
        <v>94</v>
      </c>
      <c r="C31" s="3" t="s">
        <v>94</v>
      </c>
    </row>
    <row r="32" ht="14.25" customHeight="1">
      <c r="A32" s="4" t="s">
        <v>95</v>
      </c>
      <c r="C32" s="4" t="s">
        <v>96</v>
      </c>
    </row>
    <row r="33" ht="14.25" customHeight="1">
      <c r="A33" s="3" t="s">
        <v>97</v>
      </c>
      <c r="C33" s="3" t="s">
        <v>97</v>
      </c>
    </row>
    <row r="34" ht="14.25" customHeight="1">
      <c r="A34" s="4" t="s">
        <v>98</v>
      </c>
      <c r="C34" s="4" t="s">
        <v>99</v>
      </c>
    </row>
    <row r="35" ht="14.25" customHeight="1">
      <c r="A35" s="3" t="s">
        <v>100</v>
      </c>
      <c r="C35" s="3" t="s">
        <v>100</v>
      </c>
    </row>
    <row r="36" ht="14.25" customHeight="1">
      <c r="A36" s="4" t="s">
        <v>101</v>
      </c>
      <c r="C36" s="4" t="s">
        <v>102</v>
      </c>
    </row>
    <row r="37" ht="14.25" customHeight="1">
      <c r="A37" s="4" t="s">
        <v>103</v>
      </c>
      <c r="C37" s="4" t="s">
        <v>104</v>
      </c>
    </row>
    <row r="38" ht="14.25" customHeight="1">
      <c r="A38" s="3" t="s">
        <v>105</v>
      </c>
      <c r="C38" s="3" t="s">
        <v>105</v>
      </c>
    </row>
    <row r="39" ht="14.25" customHeight="1">
      <c r="A39" s="3" t="s">
        <v>106</v>
      </c>
      <c r="C39" s="3" t="s">
        <v>106</v>
      </c>
    </row>
    <row r="40" ht="14.25" customHeight="1">
      <c r="A40" s="4" t="s">
        <v>107</v>
      </c>
      <c r="C40" s="4" t="s">
        <v>108</v>
      </c>
    </row>
    <row r="41" ht="14.25" customHeight="1">
      <c r="A41" s="4" t="s">
        <v>109</v>
      </c>
      <c r="C41" s="4" t="s">
        <v>110</v>
      </c>
    </row>
    <row r="42" ht="14.25" customHeight="1">
      <c r="A42" s="4" t="s">
        <v>111</v>
      </c>
      <c r="C42" s="4" t="s">
        <v>112</v>
      </c>
    </row>
    <row r="43" ht="14.25" customHeight="1">
      <c r="A43" s="4" t="s">
        <v>113</v>
      </c>
      <c r="C43" s="4" t="s">
        <v>114</v>
      </c>
    </row>
    <row r="44" ht="14.25" customHeight="1">
      <c r="A44" s="4" t="s">
        <v>115</v>
      </c>
      <c r="C44" s="4" t="s">
        <v>116</v>
      </c>
    </row>
    <row r="45" ht="14.25" customHeight="1">
      <c r="A45" s="3" t="s">
        <v>117</v>
      </c>
      <c r="C45" s="3" t="s">
        <v>117</v>
      </c>
    </row>
    <row r="46" ht="14.25" customHeight="1">
      <c r="A46" s="3" t="s">
        <v>118</v>
      </c>
      <c r="C46" s="3" t="s">
        <v>118</v>
      </c>
    </row>
    <row r="47" ht="14.25" customHeight="1">
      <c r="A47" s="5" t="s">
        <v>119</v>
      </c>
      <c r="C47" s="5" t="s">
        <v>120</v>
      </c>
    </row>
    <row r="48" ht="14.25" customHeight="1">
      <c r="A48" s="6"/>
      <c r="C48" s="6"/>
    </row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>
      <c r="A95" s="3"/>
      <c r="C95" s="3"/>
    </row>
    <row r="96" ht="14.25" customHeight="1">
      <c r="A96" s="3"/>
      <c r="C96" s="3"/>
    </row>
    <row r="97" ht="14.25" customHeight="1">
      <c r="A97" s="3"/>
      <c r="C97" s="3"/>
    </row>
    <row r="98" ht="14.25" customHeight="1">
      <c r="A98" s="3"/>
      <c r="C98" s="3"/>
    </row>
    <row r="99" ht="14.25" customHeight="1">
      <c r="A99" s="3"/>
      <c r="C99" s="3"/>
    </row>
    <row r="100" ht="14.25" customHeight="1">
      <c r="A100" s="3"/>
      <c r="C100" s="3"/>
    </row>
    <row r="101" ht="14.25" customHeight="1">
      <c r="A101" s="3"/>
      <c r="C101" s="3"/>
    </row>
    <row r="102" ht="14.25" customHeight="1">
      <c r="A102" s="3"/>
      <c r="C102" s="3"/>
    </row>
    <row r="103" ht="14.25" customHeight="1">
      <c r="A103" s="3"/>
      <c r="C103" s="3"/>
    </row>
    <row r="104" ht="14.25" customHeight="1">
      <c r="A104" s="3"/>
      <c r="C104" s="3"/>
    </row>
    <row r="105" ht="14.25" customHeight="1">
      <c r="A105" s="3"/>
      <c r="C105" s="3"/>
    </row>
    <row r="106" ht="14.25" customHeight="1">
      <c r="A106" s="3"/>
      <c r="C106" s="3"/>
    </row>
    <row r="107" ht="14.25" customHeight="1">
      <c r="A107" s="3"/>
      <c r="C107" s="3"/>
    </row>
    <row r="108" ht="14.25" customHeight="1">
      <c r="A108" s="3"/>
      <c r="C108" s="3"/>
    </row>
    <row r="109" ht="14.25" customHeight="1">
      <c r="A109" s="3"/>
      <c r="C109" s="3"/>
    </row>
    <row r="110" ht="14.25" customHeight="1">
      <c r="A110" s="3"/>
      <c r="C110" s="3"/>
    </row>
    <row r="111" ht="14.25" customHeight="1">
      <c r="A111" s="3"/>
      <c r="C111" s="3"/>
    </row>
    <row r="112" ht="14.25" customHeight="1">
      <c r="A112" s="3"/>
      <c r="C112" s="3"/>
    </row>
    <row r="113" ht="14.25" customHeight="1">
      <c r="A113" s="3"/>
      <c r="C113" s="3"/>
    </row>
    <row r="114" ht="14.25" customHeight="1">
      <c r="A114" s="3"/>
      <c r="C114" s="3"/>
    </row>
    <row r="115" ht="14.25" customHeight="1">
      <c r="A115" s="3"/>
      <c r="C115" s="3"/>
    </row>
    <row r="116" ht="14.25" customHeight="1">
      <c r="A116" s="3"/>
      <c r="C116" s="3"/>
    </row>
    <row r="117" ht="14.25" customHeight="1">
      <c r="A117" s="3"/>
      <c r="C117" s="3"/>
    </row>
    <row r="118" ht="14.25" customHeight="1">
      <c r="A118" s="3"/>
      <c r="C118" s="3"/>
    </row>
    <row r="119" ht="14.25" customHeight="1">
      <c r="A119" s="3"/>
      <c r="C119" s="3"/>
    </row>
    <row r="120" ht="14.25" customHeight="1">
      <c r="A120" s="3"/>
      <c r="C120" s="3"/>
    </row>
    <row r="121" ht="14.25" customHeight="1">
      <c r="A121" s="3"/>
      <c r="C121" s="3"/>
    </row>
    <row r="122" ht="14.25" customHeight="1">
      <c r="A122" s="3"/>
      <c r="C122" s="3"/>
    </row>
    <row r="123" ht="14.25" customHeight="1">
      <c r="A123" s="3"/>
      <c r="C123" s="3"/>
    </row>
    <row r="124" ht="14.25" customHeight="1">
      <c r="A124" s="3"/>
      <c r="C124" s="3"/>
    </row>
    <row r="125" ht="14.25" customHeight="1">
      <c r="A125" s="3"/>
      <c r="C125" s="3"/>
    </row>
    <row r="126" ht="14.25" customHeight="1">
      <c r="A126" s="3"/>
      <c r="C126" s="3"/>
    </row>
    <row r="127" ht="14.25" customHeight="1">
      <c r="A127" s="3"/>
      <c r="C127" s="3"/>
    </row>
    <row r="128" ht="14.25" customHeight="1">
      <c r="A128" s="3"/>
      <c r="C128" s="3"/>
    </row>
    <row r="129" ht="14.25" customHeight="1">
      <c r="A129" s="3"/>
      <c r="C129" s="3"/>
    </row>
    <row r="130" ht="14.25" customHeight="1">
      <c r="A130" s="3"/>
      <c r="C130" s="3"/>
    </row>
    <row r="131" ht="14.25" customHeight="1">
      <c r="A131" s="3"/>
      <c r="C131" s="3"/>
    </row>
    <row r="132" ht="14.25" customHeight="1">
      <c r="A132" s="3"/>
      <c r="C132" s="3"/>
    </row>
    <row r="133" ht="14.25" customHeight="1">
      <c r="A133" s="3"/>
      <c r="C133" s="3"/>
    </row>
    <row r="134" ht="14.25" customHeight="1">
      <c r="A134" s="3"/>
      <c r="C134" s="3"/>
    </row>
    <row r="135" ht="14.25" customHeight="1">
      <c r="A135" s="3"/>
      <c r="C135" s="3"/>
    </row>
    <row r="136" ht="14.25" customHeight="1">
      <c r="A136" s="3"/>
      <c r="C136" s="3"/>
    </row>
    <row r="137" ht="14.25" customHeight="1">
      <c r="A137" s="3"/>
      <c r="C137" s="3"/>
    </row>
    <row r="138" ht="14.25" customHeight="1">
      <c r="A138" s="3"/>
      <c r="C138" s="3"/>
    </row>
    <row r="139" ht="14.25" customHeight="1">
      <c r="A139" s="3"/>
      <c r="C139" s="3"/>
    </row>
    <row r="140" ht="14.25" customHeight="1">
      <c r="A140" s="3"/>
      <c r="C140" s="3"/>
    </row>
    <row r="141" ht="14.25" customHeight="1">
      <c r="A141" s="3"/>
      <c r="C141" s="3"/>
    </row>
    <row r="142" ht="14.25" customHeight="1">
      <c r="A142" s="3"/>
      <c r="C142" s="3"/>
    </row>
    <row r="143" ht="14.25" customHeight="1">
      <c r="A143" s="3"/>
      <c r="C143" s="3"/>
    </row>
    <row r="144" ht="14.25" customHeight="1">
      <c r="A144" s="3"/>
      <c r="C144" s="3"/>
    </row>
    <row r="145" ht="14.25" customHeight="1">
      <c r="A145" s="3"/>
      <c r="C145" s="3"/>
    </row>
    <row r="146" ht="14.25" customHeight="1">
      <c r="A146" s="3"/>
      <c r="C146" s="3"/>
    </row>
    <row r="147" ht="14.25" customHeight="1">
      <c r="A147" s="3"/>
      <c r="C147" s="3"/>
    </row>
    <row r="148" ht="14.25" customHeight="1">
      <c r="A148" s="3"/>
      <c r="C148" s="3"/>
    </row>
    <row r="149" ht="14.25" customHeight="1">
      <c r="A149" s="3"/>
      <c r="C149" s="3"/>
    </row>
    <row r="150" ht="14.25" customHeight="1">
      <c r="A150" s="3"/>
      <c r="C150" s="3"/>
    </row>
    <row r="151" ht="14.25" customHeight="1">
      <c r="A151" s="3"/>
      <c r="C151" s="3"/>
    </row>
    <row r="152" ht="14.25" customHeight="1">
      <c r="A152" s="3"/>
      <c r="C152" s="3"/>
    </row>
    <row r="153" ht="14.25" customHeight="1">
      <c r="A153" s="3"/>
      <c r="C153" s="3"/>
    </row>
    <row r="154" ht="14.25" customHeight="1">
      <c r="A154" s="3"/>
      <c r="C154" s="3"/>
    </row>
    <row r="155" ht="14.25" customHeight="1">
      <c r="A155" s="3"/>
      <c r="C155" s="3"/>
    </row>
    <row r="156" ht="14.25" customHeight="1">
      <c r="A156" s="3"/>
      <c r="C156" s="3"/>
    </row>
    <row r="157" ht="14.25" customHeight="1">
      <c r="A157" s="3"/>
      <c r="C157" s="3"/>
    </row>
    <row r="158" ht="14.25" customHeight="1">
      <c r="A158" s="3"/>
      <c r="C158" s="3"/>
    </row>
    <row r="159" ht="14.25" customHeight="1">
      <c r="A159" s="3"/>
      <c r="C159" s="3"/>
    </row>
    <row r="160" ht="14.25" customHeight="1">
      <c r="A160" s="3"/>
      <c r="C160" s="3"/>
    </row>
    <row r="161" ht="14.25" customHeight="1">
      <c r="A161" s="3"/>
      <c r="C161" s="3"/>
    </row>
    <row r="162" ht="14.25" customHeight="1">
      <c r="A162" s="3"/>
      <c r="C162" s="3"/>
    </row>
    <row r="163" ht="14.25" customHeight="1">
      <c r="A163" s="3"/>
      <c r="C163" s="3"/>
    </row>
    <row r="164" ht="14.25" customHeight="1">
      <c r="A164" s="3"/>
      <c r="C164" s="3"/>
    </row>
    <row r="165" ht="14.25" customHeight="1">
      <c r="A165" s="3"/>
      <c r="C165" s="3"/>
    </row>
    <row r="166" ht="14.25" customHeight="1">
      <c r="A166" s="3"/>
      <c r="C166" s="3"/>
    </row>
    <row r="167" ht="14.25" customHeight="1">
      <c r="A167" s="3"/>
      <c r="C167" s="3"/>
    </row>
    <row r="168" ht="14.25" customHeight="1">
      <c r="A168" s="3"/>
      <c r="C168" s="3"/>
    </row>
    <row r="169" ht="14.25" customHeight="1">
      <c r="A169" s="3"/>
      <c r="C169" s="3"/>
    </row>
    <row r="170" ht="14.25" customHeight="1">
      <c r="A170" s="3"/>
      <c r="C170" s="3"/>
    </row>
    <row r="171" ht="14.25" customHeight="1">
      <c r="A171" s="3"/>
      <c r="C171" s="3"/>
    </row>
    <row r="172" ht="14.25" customHeight="1">
      <c r="A172" s="3"/>
      <c r="C172" s="3"/>
    </row>
    <row r="173" ht="14.25" customHeight="1">
      <c r="A173" s="3"/>
      <c r="C173" s="3"/>
    </row>
    <row r="174" ht="14.25" customHeight="1">
      <c r="A174" s="3"/>
      <c r="C174" s="3"/>
    </row>
    <row r="175" ht="14.25" customHeight="1">
      <c r="A175" s="3"/>
      <c r="C175" s="3"/>
    </row>
    <row r="176" ht="14.25" customHeight="1">
      <c r="A176" s="3"/>
      <c r="C176" s="3"/>
    </row>
    <row r="177" ht="14.25" customHeight="1">
      <c r="A177" s="3"/>
      <c r="C177" s="3"/>
    </row>
    <row r="178" ht="14.25" customHeight="1">
      <c r="A178" s="3"/>
      <c r="C178" s="3"/>
    </row>
    <row r="179" ht="14.25" customHeight="1">
      <c r="A179" s="3"/>
      <c r="C179" s="3"/>
    </row>
    <row r="180" ht="14.25" customHeight="1">
      <c r="A180" s="3"/>
      <c r="C180" s="3"/>
    </row>
    <row r="181" ht="14.25" customHeight="1">
      <c r="A181" s="3"/>
      <c r="C181" s="3"/>
    </row>
    <row r="182" ht="14.25" customHeight="1">
      <c r="A182" s="3"/>
      <c r="C182" s="3"/>
    </row>
    <row r="183" ht="14.25" customHeight="1">
      <c r="A183" s="3"/>
      <c r="C183" s="3"/>
    </row>
    <row r="184" ht="14.25" customHeight="1">
      <c r="A184" s="3"/>
      <c r="C184" s="3"/>
    </row>
    <row r="185" ht="14.25" customHeight="1">
      <c r="A185" s="3"/>
      <c r="C185" s="3"/>
    </row>
    <row r="186" ht="14.25" customHeight="1">
      <c r="A186" s="3"/>
      <c r="C186" s="3"/>
    </row>
    <row r="187" ht="14.25" customHeight="1">
      <c r="A187" s="3"/>
      <c r="C187" s="3"/>
    </row>
    <row r="188" ht="14.25" customHeight="1">
      <c r="A188" s="3"/>
      <c r="C188" s="3"/>
    </row>
    <row r="189" ht="14.25" customHeight="1">
      <c r="A189" s="3"/>
      <c r="C189" s="3"/>
    </row>
    <row r="190" ht="14.25" customHeight="1">
      <c r="A190" s="3"/>
      <c r="C190" s="3"/>
    </row>
    <row r="191" ht="14.25" customHeight="1">
      <c r="A191" s="3"/>
      <c r="C191" s="3"/>
    </row>
    <row r="192" ht="14.25" customHeight="1">
      <c r="A192" s="3"/>
      <c r="C192" s="3"/>
    </row>
    <row r="193" ht="14.25" customHeight="1">
      <c r="A193" s="3"/>
      <c r="C193" s="3"/>
    </row>
    <row r="194" ht="14.25" customHeight="1">
      <c r="A194" s="3"/>
      <c r="C194" s="3"/>
    </row>
    <row r="195" ht="14.25" customHeight="1">
      <c r="A195" s="3"/>
      <c r="C195" s="3"/>
    </row>
    <row r="196" ht="14.25" customHeight="1">
      <c r="A196" s="3"/>
      <c r="C196" s="3"/>
    </row>
    <row r="197" ht="14.25" customHeight="1">
      <c r="A197" s="3"/>
      <c r="C197" s="3"/>
    </row>
    <row r="198" ht="14.25" customHeight="1">
      <c r="A198" s="3"/>
      <c r="C198" s="3"/>
    </row>
    <row r="199" ht="14.25" customHeight="1">
      <c r="A199" s="3"/>
      <c r="C199" s="3"/>
    </row>
    <row r="200" ht="14.25" customHeight="1">
      <c r="A200" s="3"/>
      <c r="C200" s="3"/>
    </row>
    <row r="201" ht="14.25" customHeight="1">
      <c r="A201" s="3"/>
      <c r="C201" s="3"/>
    </row>
    <row r="202" ht="14.25" customHeight="1">
      <c r="A202" s="3"/>
      <c r="C202" s="3"/>
    </row>
    <row r="203" ht="14.25" customHeight="1">
      <c r="A203" s="3"/>
      <c r="C203" s="3"/>
    </row>
    <row r="204" ht="14.25" customHeight="1">
      <c r="A204" s="3"/>
      <c r="C204" s="3"/>
    </row>
    <row r="205" ht="14.25" customHeight="1">
      <c r="A205" s="3"/>
      <c r="C205" s="3"/>
    </row>
    <row r="206" ht="14.25" customHeight="1">
      <c r="A206" s="3"/>
      <c r="C206" s="3"/>
    </row>
    <row r="207" ht="14.25" customHeight="1">
      <c r="A207" s="3"/>
      <c r="C207" s="3"/>
    </row>
    <row r="208" ht="14.25" customHeight="1">
      <c r="A208" s="3"/>
      <c r="C208" s="3"/>
    </row>
    <row r="209" ht="14.25" customHeight="1">
      <c r="A209" s="3"/>
      <c r="C209" s="3"/>
    </row>
    <row r="210" ht="14.25" customHeight="1">
      <c r="A210" s="3"/>
      <c r="C210" s="3"/>
    </row>
    <row r="211" ht="14.25" customHeight="1">
      <c r="A211" s="3"/>
      <c r="C211" s="3"/>
    </row>
    <row r="212" ht="14.25" customHeight="1">
      <c r="A212" s="3"/>
      <c r="C212" s="3"/>
    </row>
    <row r="213" ht="14.25" customHeight="1">
      <c r="A213" s="3"/>
      <c r="C213" s="3"/>
    </row>
    <row r="214" ht="14.25" customHeight="1">
      <c r="A214" s="3"/>
      <c r="C214" s="3"/>
    </row>
    <row r="215" ht="14.25" customHeight="1">
      <c r="A215" s="3"/>
      <c r="C215" s="3"/>
    </row>
    <row r="216" ht="14.25" customHeight="1">
      <c r="A216" s="3"/>
      <c r="C216" s="3"/>
    </row>
    <row r="217" ht="14.25" customHeight="1">
      <c r="A217" s="3"/>
      <c r="C217" s="3"/>
    </row>
    <row r="218" ht="14.25" customHeight="1">
      <c r="A218" s="3"/>
      <c r="C218" s="3"/>
    </row>
    <row r="219" ht="14.25" customHeight="1">
      <c r="A219" s="3"/>
      <c r="C219" s="3"/>
    </row>
    <row r="220" ht="14.25" customHeight="1">
      <c r="A220" s="3"/>
      <c r="C220" s="3"/>
    </row>
    <row r="221" ht="14.25" customHeight="1">
      <c r="A221" s="3"/>
      <c r="C221" s="3"/>
    </row>
    <row r="222" ht="14.25" customHeight="1">
      <c r="A222" s="3"/>
      <c r="C222" s="3"/>
    </row>
    <row r="223" ht="14.25" customHeight="1">
      <c r="A223" s="3"/>
      <c r="C223" s="3"/>
    </row>
    <row r="224" ht="14.25" customHeight="1">
      <c r="A224" s="3"/>
      <c r="C224" s="3"/>
    </row>
    <row r="225" ht="14.25" customHeight="1">
      <c r="A225" s="3"/>
      <c r="C225" s="3"/>
    </row>
    <row r="226" ht="14.25" customHeight="1">
      <c r="A226" s="3"/>
      <c r="C226" s="3"/>
    </row>
    <row r="227" ht="14.25" customHeight="1">
      <c r="A227" s="3"/>
      <c r="C227" s="3"/>
    </row>
    <row r="228" ht="14.25" customHeight="1">
      <c r="A228" s="3"/>
      <c r="C228" s="3"/>
    </row>
    <row r="229" ht="14.25" customHeight="1">
      <c r="A229" s="3"/>
      <c r="C229" s="3"/>
    </row>
    <row r="230" ht="14.25" customHeight="1">
      <c r="A230" s="3"/>
      <c r="C230" s="3"/>
    </row>
    <row r="231" ht="14.25" customHeight="1">
      <c r="A231" s="3"/>
      <c r="C231" s="3"/>
    </row>
    <row r="232" ht="14.25" customHeight="1">
      <c r="A232" s="3"/>
      <c r="C232" s="3"/>
    </row>
    <row r="233" ht="14.25" customHeight="1">
      <c r="A233" s="3"/>
      <c r="C233" s="3"/>
    </row>
    <row r="234" ht="14.25" customHeight="1">
      <c r="A234" s="3"/>
      <c r="C234" s="3"/>
    </row>
    <row r="235" ht="14.25" customHeight="1">
      <c r="A235" s="3"/>
      <c r="C235" s="3"/>
    </row>
    <row r="236" ht="14.25" customHeight="1">
      <c r="A236" s="3"/>
      <c r="C236" s="3"/>
    </row>
    <row r="237" ht="14.25" customHeight="1">
      <c r="A237" s="3"/>
      <c r="C237" s="3"/>
    </row>
    <row r="238" ht="14.25" customHeight="1">
      <c r="A238" s="3"/>
      <c r="C238" s="3"/>
    </row>
    <row r="239" ht="14.25" customHeight="1">
      <c r="A239" s="3"/>
      <c r="C239" s="3"/>
    </row>
    <row r="240" ht="14.25" customHeight="1">
      <c r="A240" s="3"/>
      <c r="C240" s="3"/>
    </row>
    <row r="241" ht="14.25" customHeight="1">
      <c r="A241" s="3"/>
      <c r="C241" s="3"/>
    </row>
    <row r="242" ht="14.25" customHeight="1">
      <c r="A242" s="3"/>
      <c r="C242" s="3"/>
    </row>
    <row r="243" ht="14.25" customHeight="1">
      <c r="A243" s="3"/>
      <c r="C243" s="3"/>
    </row>
    <row r="244" ht="14.25" customHeight="1">
      <c r="A244" s="3"/>
      <c r="C244" s="3"/>
    </row>
    <row r="245" ht="14.25" customHeight="1">
      <c r="A245" s="3"/>
      <c r="C245" s="3"/>
    </row>
    <row r="246" ht="14.25" customHeight="1">
      <c r="A246" s="3"/>
      <c r="C246" s="3"/>
    </row>
    <row r="247" ht="14.25" customHeight="1">
      <c r="A247" s="3"/>
      <c r="C247" s="3"/>
    </row>
    <row r="248" ht="14.25" customHeight="1">
      <c r="A248" s="3"/>
      <c r="C248" s="3"/>
    </row>
    <row r="249" ht="14.25" customHeight="1">
      <c r="A249" s="3"/>
      <c r="C249" s="3"/>
    </row>
    <row r="250" ht="14.25" customHeight="1">
      <c r="A250" s="3"/>
      <c r="C250" s="3"/>
    </row>
    <row r="251" ht="14.25" customHeight="1">
      <c r="A251" s="3"/>
      <c r="C251" s="3"/>
    </row>
    <row r="252" ht="14.25" customHeight="1">
      <c r="A252" s="3"/>
      <c r="C252" s="3"/>
    </row>
    <row r="253" ht="14.25" customHeight="1">
      <c r="A253" s="3"/>
      <c r="C253" s="3"/>
    </row>
    <row r="254" ht="14.25" customHeight="1">
      <c r="A254" s="3"/>
      <c r="C254" s="3"/>
    </row>
    <row r="255" ht="14.25" customHeight="1">
      <c r="A255" s="3"/>
      <c r="C255" s="3"/>
    </row>
    <row r="256" ht="14.25" customHeight="1">
      <c r="A256" s="3"/>
      <c r="C256" s="3"/>
    </row>
    <row r="257" ht="14.25" customHeight="1">
      <c r="A257" s="3"/>
      <c r="C257" s="3"/>
    </row>
    <row r="258" ht="14.25" customHeight="1">
      <c r="A258" s="3"/>
      <c r="C258" s="3"/>
    </row>
    <row r="259" ht="14.25" customHeight="1">
      <c r="A259" s="3"/>
      <c r="C259" s="3"/>
    </row>
    <row r="260" ht="14.25" customHeight="1">
      <c r="A260" s="3"/>
      <c r="C260" s="3"/>
    </row>
    <row r="261" ht="14.25" customHeight="1">
      <c r="A261" s="3"/>
      <c r="C261" s="3"/>
    </row>
    <row r="262" ht="14.25" customHeight="1">
      <c r="A262" s="3"/>
      <c r="C262" s="3"/>
    </row>
    <row r="263" ht="14.25" customHeight="1">
      <c r="A263" s="3"/>
      <c r="C263" s="3"/>
    </row>
    <row r="264" ht="14.25" customHeight="1">
      <c r="A264" s="3"/>
      <c r="C264" s="3"/>
    </row>
    <row r="265" ht="14.25" customHeight="1">
      <c r="A265" s="3"/>
      <c r="C265" s="3"/>
    </row>
    <row r="266" ht="14.25" customHeight="1">
      <c r="A266" s="3"/>
      <c r="C266" s="3"/>
    </row>
    <row r="267" ht="14.25" customHeight="1">
      <c r="A267" s="3"/>
      <c r="C267" s="3"/>
    </row>
    <row r="268" ht="14.25" customHeight="1">
      <c r="A268" s="3"/>
      <c r="C268" s="3"/>
    </row>
    <row r="269" ht="14.25" customHeight="1">
      <c r="A269" s="3"/>
      <c r="C269" s="3"/>
    </row>
    <row r="270" ht="14.25" customHeight="1">
      <c r="A270" s="3"/>
      <c r="C270" s="3"/>
    </row>
    <row r="271" ht="14.25" customHeight="1">
      <c r="A271" s="3"/>
      <c r="C271" s="3"/>
    </row>
    <row r="272" ht="14.25" customHeight="1">
      <c r="A272" s="3"/>
      <c r="C272" s="3"/>
    </row>
    <row r="273" ht="14.25" customHeight="1">
      <c r="A273" s="3"/>
      <c r="C273" s="3"/>
    </row>
    <row r="274" ht="14.25" customHeight="1">
      <c r="A274" s="3"/>
      <c r="C274" s="3"/>
    </row>
    <row r="275" ht="14.25" customHeight="1">
      <c r="A275" s="3"/>
      <c r="C275" s="3"/>
    </row>
    <row r="276" ht="14.25" customHeight="1">
      <c r="A276" s="3"/>
      <c r="C276" s="3"/>
    </row>
    <row r="277" ht="14.25" customHeight="1">
      <c r="A277" s="3"/>
      <c r="C277" s="3"/>
    </row>
    <row r="278" ht="14.25" customHeight="1">
      <c r="A278" s="3"/>
      <c r="C278" s="3"/>
    </row>
    <row r="279" ht="14.25" customHeight="1">
      <c r="A279" s="3"/>
      <c r="C279" s="3"/>
    </row>
    <row r="280" ht="14.25" customHeight="1">
      <c r="A280" s="3"/>
      <c r="C280" s="3"/>
    </row>
    <row r="281" ht="14.25" customHeight="1">
      <c r="A281" s="3"/>
      <c r="C281" s="3"/>
    </row>
    <row r="282" ht="14.25" customHeight="1">
      <c r="A282" s="3"/>
      <c r="C282" s="3"/>
    </row>
    <row r="283" ht="14.25" customHeight="1">
      <c r="A283" s="3"/>
      <c r="C283" s="3"/>
    </row>
    <row r="284" ht="14.25" customHeight="1">
      <c r="A284" s="3"/>
      <c r="C284" s="3"/>
    </row>
    <row r="285" ht="14.25" customHeight="1">
      <c r="A285" s="3"/>
      <c r="C285" s="3"/>
    </row>
    <row r="286" ht="14.25" customHeight="1">
      <c r="A286" s="3"/>
      <c r="C286" s="3"/>
    </row>
    <row r="287" ht="14.25" customHeight="1">
      <c r="A287" s="3"/>
      <c r="C287" s="3"/>
    </row>
    <row r="288" ht="14.25" customHeight="1">
      <c r="A288" s="3"/>
      <c r="C288" s="3"/>
    </row>
    <row r="289" ht="14.25" customHeight="1">
      <c r="A289" s="3"/>
      <c r="C289" s="3"/>
    </row>
    <row r="290" ht="14.25" customHeight="1">
      <c r="A290" s="3"/>
      <c r="C290" s="3"/>
    </row>
    <row r="291" ht="14.25" customHeight="1">
      <c r="A291" s="3"/>
      <c r="C291" s="3"/>
    </row>
    <row r="292" ht="14.25" customHeight="1">
      <c r="A292" s="3"/>
      <c r="C292" s="3"/>
    </row>
    <row r="293" ht="14.25" customHeight="1">
      <c r="A293" s="3"/>
      <c r="C293" s="3"/>
    </row>
    <row r="294" ht="14.25" customHeight="1">
      <c r="A294" s="3"/>
      <c r="C294" s="3"/>
    </row>
    <row r="295" ht="14.25" customHeight="1">
      <c r="A295" s="3"/>
      <c r="C295" s="3"/>
    </row>
    <row r="296" ht="14.25" customHeight="1">
      <c r="A296" s="3"/>
      <c r="C296" s="3"/>
    </row>
    <row r="297" ht="14.25" customHeight="1">
      <c r="A297" s="3"/>
      <c r="C297" s="3"/>
    </row>
    <row r="298" ht="14.25" customHeight="1">
      <c r="A298" s="3"/>
      <c r="C298" s="3"/>
    </row>
    <row r="299" ht="14.25" customHeight="1">
      <c r="A299" s="3"/>
      <c r="C299" s="3"/>
    </row>
    <row r="300" ht="14.25" customHeight="1">
      <c r="A300" s="3"/>
      <c r="C300" s="3"/>
    </row>
    <row r="301" ht="14.25" customHeight="1">
      <c r="A301" s="3"/>
      <c r="C301" s="3"/>
    </row>
    <row r="302" ht="14.25" customHeight="1">
      <c r="A302" s="3"/>
      <c r="C302" s="3"/>
    </row>
    <row r="303" ht="14.25" customHeight="1">
      <c r="A303" s="3"/>
      <c r="C303" s="3"/>
    </row>
    <row r="304" ht="14.25" customHeight="1">
      <c r="A304" s="3"/>
      <c r="C304" s="3"/>
    </row>
    <row r="305" ht="14.25" customHeight="1">
      <c r="A305" s="3"/>
      <c r="C305" s="3"/>
    </row>
    <row r="306" ht="14.25" customHeight="1">
      <c r="A306" s="3"/>
      <c r="C306" s="3"/>
    </row>
    <row r="307" ht="14.25" customHeight="1">
      <c r="A307" s="3"/>
      <c r="C307" s="3"/>
    </row>
    <row r="308" ht="14.25" customHeight="1">
      <c r="A308" s="3"/>
      <c r="C308" s="3"/>
    </row>
    <row r="309" ht="14.25" customHeight="1">
      <c r="A309" s="3"/>
      <c r="C309" s="3"/>
    </row>
    <row r="310" ht="14.25" customHeight="1">
      <c r="A310" s="3"/>
      <c r="C310" s="3"/>
    </row>
    <row r="311" ht="14.25" customHeight="1">
      <c r="A311" s="3"/>
      <c r="C311" s="3"/>
    </row>
    <row r="312" ht="14.25" customHeight="1">
      <c r="A312" s="3"/>
      <c r="C312" s="3"/>
    </row>
    <row r="313" ht="14.25" customHeight="1">
      <c r="A313" s="3"/>
      <c r="C313" s="3"/>
    </row>
    <row r="314" ht="14.25" customHeight="1">
      <c r="A314" s="3"/>
      <c r="C314" s="3"/>
    </row>
    <row r="315" ht="14.25" customHeight="1">
      <c r="A315" s="3"/>
      <c r="C315" s="3"/>
    </row>
    <row r="316" ht="14.25" customHeight="1">
      <c r="A316" s="3"/>
      <c r="C316" s="3"/>
    </row>
    <row r="317" ht="14.25" customHeight="1">
      <c r="A317" s="3"/>
      <c r="C317" s="3"/>
    </row>
    <row r="318" ht="14.25" customHeight="1">
      <c r="A318" s="3"/>
      <c r="C318" s="3"/>
    </row>
    <row r="319" ht="14.25" customHeight="1">
      <c r="A319" s="3"/>
      <c r="C319" s="3"/>
    </row>
    <row r="320" ht="14.25" customHeight="1">
      <c r="A320" s="3"/>
      <c r="C320" s="3"/>
    </row>
    <row r="321" ht="14.25" customHeight="1">
      <c r="A321" s="3"/>
      <c r="C321" s="3"/>
    </row>
    <row r="322" ht="14.25" customHeight="1">
      <c r="A322" s="3"/>
      <c r="C322" s="3"/>
    </row>
    <row r="323" ht="14.25" customHeight="1">
      <c r="A323" s="3"/>
      <c r="C323" s="3"/>
    </row>
    <row r="324" ht="14.25" customHeight="1">
      <c r="A324" s="3"/>
      <c r="C324" s="3"/>
    </row>
    <row r="325" ht="14.25" customHeight="1">
      <c r="A325" s="3"/>
      <c r="C325" s="3"/>
    </row>
    <row r="326" ht="14.25" customHeight="1">
      <c r="A326" s="3"/>
      <c r="C326" s="3"/>
    </row>
    <row r="327" ht="14.25" customHeight="1">
      <c r="A327" s="3"/>
      <c r="C327" s="3"/>
    </row>
    <row r="328" ht="14.25" customHeight="1">
      <c r="A328" s="3"/>
      <c r="C328" s="3"/>
    </row>
    <row r="329" ht="14.25" customHeight="1">
      <c r="A329" s="3"/>
      <c r="C329" s="3"/>
    </row>
    <row r="330" ht="14.25" customHeight="1">
      <c r="A330" s="3"/>
      <c r="C330" s="3"/>
    </row>
    <row r="331" ht="14.25" customHeight="1">
      <c r="A331" s="3"/>
      <c r="C331" s="3"/>
    </row>
    <row r="332" ht="14.25" customHeight="1">
      <c r="A332" s="3"/>
      <c r="C332" s="3"/>
    </row>
    <row r="333" ht="14.25" customHeight="1">
      <c r="A333" s="3"/>
      <c r="C333" s="3"/>
    </row>
    <row r="334" ht="14.25" customHeight="1">
      <c r="A334" s="3"/>
      <c r="C334" s="3"/>
    </row>
    <row r="335" ht="14.25" customHeight="1">
      <c r="A335" s="3"/>
      <c r="C335" s="3"/>
    </row>
    <row r="336" ht="14.25" customHeight="1">
      <c r="A336" s="3"/>
      <c r="C336" s="3"/>
    </row>
    <row r="337" ht="14.25" customHeight="1">
      <c r="A337" s="3"/>
      <c r="C337" s="3"/>
    </row>
    <row r="338" ht="14.25" customHeight="1">
      <c r="A338" s="3"/>
      <c r="C338" s="3"/>
    </row>
    <row r="339" ht="14.25" customHeight="1">
      <c r="A339" s="3"/>
      <c r="C339" s="3"/>
    </row>
    <row r="340" ht="14.25" customHeight="1">
      <c r="A340" s="3"/>
      <c r="C340" s="3"/>
    </row>
    <row r="341" ht="14.25" customHeight="1">
      <c r="A341" s="3"/>
      <c r="C341" s="3"/>
    </row>
    <row r="342" ht="14.25" customHeight="1">
      <c r="A342" s="3"/>
      <c r="C342" s="3"/>
    </row>
    <row r="343" ht="14.25" customHeight="1">
      <c r="A343" s="3"/>
      <c r="C343" s="3"/>
    </row>
    <row r="344" ht="14.25" customHeight="1">
      <c r="A344" s="3"/>
      <c r="C344" s="3"/>
    </row>
    <row r="345" ht="14.25" customHeight="1">
      <c r="A345" s="3"/>
      <c r="C345" s="3"/>
    </row>
    <row r="346" ht="14.25" customHeight="1">
      <c r="A346" s="3"/>
      <c r="C346" s="3"/>
    </row>
    <row r="347" ht="14.25" customHeight="1">
      <c r="A347" s="3"/>
      <c r="C347" s="3"/>
    </row>
    <row r="348" ht="14.25" customHeight="1">
      <c r="A348" s="3"/>
      <c r="C348" s="3"/>
    </row>
    <row r="349" ht="14.25" customHeight="1">
      <c r="A349" s="3"/>
      <c r="C349" s="3"/>
    </row>
    <row r="350" ht="14.25" customHeight="1">
      <c r="A350" s="3"/>
      <c r="C350" s="3"/>
    </row>
    <row r="351" ht="14.25" customHeight="1">
      <c r="A351" s="3"/>
      <c r="C351" s="3"/>
    </row>
    <row r="352" ht="14.25" customHeight="1">
      <c r="A352" s="3"/>
      <c r="C352" s="3"/>
    </row>
    <row r="353" ht="14.25" customHeight="1">
      <c r="A353" s="3"/>
      <c r="C353" s="3"/>
    </row>
    <row r="354" ht="14.25" customHeight="1">
      <c r="A354" s="3"/>
      <c r="C354" s="3"/>
    </row>
    <row r="355" ht="14.25" customHeight="1">
      <c r="A355" s="3"/>
      <c r="C355" s="3"/>
    </row>
    <row r="356" ht="14.25" customHeight="1">
      <c r="A356" s="3"/>
      <c r="C356" s="3"/>
    </row>
    <row r="357" ht="14.25" customHeight="1">
      <c r="A357" s="3"/>
      <c r="C357" s="3"/>
    </row>
    <row r="358" ht="14.25" customHeight="1">
      <c r="A358" s="3"/>
      <c r="C358" s="3"/>
    </row>
    <row r="359" ht="14.25" customHeight="1">
      <c r="A359" s="3"/>
      <c r="C359" s="3"/>
    </row>
    <row r="360" ht="14.25" customHeight="1">
      <c r="A360" s="3"/>
      <c r="C360" s="3"/>
    </row>
    <row r="361" ht="14.25" customHeight="1">
      <c r="A361" s="3"/>
      <c r="C361" s="3"/>
    </row>
    <row r="362" ht="14.25" customHeight="1">
      <c r="A362" s="3"/>
      <c r="C362" s="3"/>
    </row>
    <row r="363" ht="14.25" customHeight="1">
      <c r="A363" s="3"/>
      <c r="C363" s="3"/>
    </row>
    <row r="364" ht="14.25" customHeight="1">
      <c r="A364" s="3"/>
      <c r="C364" s="3"/>
    </row>
    <row r="365" ht="14.25" customHeight="1">
      <c r="A365" s="3"/>
      <c r="C365" s="3"/>
    </row>
    <row r="366" ht="14.25" customHeight="1">
      <c r="A366" s="3"/>
      <c r="C366" s="3"/>
    </row>
    <row r="367" ht="14.25" customHeight="1">
      <c r="A367" s="3"/>
      <c r="C367" s="3"/>
    </row>
    <row r="368" ht="14.25" customHeight="1">
      <c r="A368" s="3"/>
      <c r="C368" s="3"/>
    </row>
    <row r="369" ht="14.25" customHeight="1">
      <c r="A369" s="3"/>
      <c r="C369" s="3"/>
    </row>
    <row r="370" ht="14.25" customHeight="1">
      <c r="A370" s="3"/>
      <c r="C370" s="3"/>
    </row>
    <row r="371" ht="14.25" customHeight="1">
      <c r="A371" s="3"/>
      <c r="C371" s="3"/>
    </row>
    <row r="372" ht="14.25" customHeight="1">
      <c r="A372" s="3"/>
      <c r="C372" s="3"/>
    </row>
    <row r="373" ht="14.25" customHeight="1">
      <c r="A373" s="3"/>
      <c r="C373" s="3"/>
    </row>
    <row r="374" ht="14.25" customHeight="1">
      <c r="A374" s="3"/>
      <c r="C374" s="3"/>
    </row>
    <row r="375" ht="14.25" customHeight="1">
      <c r="A375" s="3"/>
      <c r="C375" s="3"/>
    </row>
    <row r="376" ht="14.25" customHeight="1">
      <c r="A376" s="3"/>
      <c r="C376" s="3"/>
    </row>
    <row r="377" ht="14.25" customHeight="1">
      <c r="A377" s="3"/>
      <c r="C377" s="3"/>
    </row>
    <row r="378" ht="14.25" customHeight="1">
      <c r="A378" s="3"/>
      <c r="C378" s="3"/>
    </row>
    <row r="379" ht="14.25" customHeight="1">
      <c r="A379" s="3"/>
      <c r="C379" s="3"/>
    </row>
    <row r="380" ht="14.25" customHeight="1">
      <c r="A380" s="3"/>
      <c r="C380" s="3"/>
    </row>
    <row r="381" ht="14.25" customHeight="1">
      <c r="A381" s="3"/>
      <c r="C381" s="3"/>
    </row>
    <row r="382" ht="14.25" customHeight="1">
      <c r="A382" s="3"/>
      <c r="C382" s="3"/>
    </row>
    <row r="383" ht="14.25" customHeight="1">
      <c r="A383" s="3"/>
      <c r="C383" s="3"/>
    </row>
    <row r="384" ht="14.25" customHeight="1">
      <c r="A384" s="3"/>
      <c r="C384" s="3"/>
    </row>
    <row r="385" ht="14.25" customHeight="1">
      <c r="A385" s="3"/>
      <c r="C385" s="3"/>
    </row>
    <row r="386" ht="14.25" customHeight="1">
      <c r="A386" s="3"/>
      <c r="C386" s="3"/>
    </row>
    <row r="387" ht="14.25" customHeight="1">
      <c r="A387" s="3"/>
      <c r="C387" s="3"/>
    </row>
    <row r="388" ht="14.25" customHeight="1">
      <c r="A388" s="3"/>
      <c r="C388" s="3"/>
    </row>
    <row r="389" ht="14.25" customHeight="1">
      <c r="A389" s="3"/>
      <c r="C389" s="3"/>
    </row>
    <row r="390" ht="14.25" customHeight="1">
      <c r="A390" s="3"/>
      <c r="C390" s="3"/>
    </row>
    <row r="391" ht="14.25" customHeight="1">
      <c r="A391" s="3"/>
      <c r="C391" s="3"/>
    </row>
    <row r="392" ht="14.25" customHeight="1">
      <c r="A392" s="3"/>
      <c r="C392" s="3"/>
    </row>
    <row r="393" ht="14.25" customHeight="1">
      <c r="A393" s="3"/>
      <c r="C393" s="3"/>
    </row>
    <row r="394" ht="14.25" customHeight="1">
      <c r="A394" s="3"/>
      <c r="C394" s="3"/>
    </row>
    <row r="395" ht="14.25" customHeight="1">
      <c r="A395" s="3"/>
      <c r="C395" s="3"/>
    </row>
    <row r="396" ht="14.25" customHeight="1">
      <c r="A396" s="3"/>
      <c r="C396" s="3"/>
    </row>
    <row r="397" ht="14.25" customHeight="1">
      <c r="A397" s="3"/>
      <c r="C397" s="3"/>
    </row>
    <row r="398" ht="14.25" customHeight="1">
      <c r="A398" s="3"/>
      <c r="C398" s="3"/>
    </row>
    <row r="399" ht="14.25" customHeight="1">
      <c r="A399" s="3"/>
      <c r="C399" s="3"/>
    </row>
    <row r="400" ht="14.25" customHeight="1">
      <c r="A400" s="3"/>
      <c r="C400" s="3"/>
    </row>
    <row r="401" ht="14.25" customHeight="1">
      <c r="A401" s="3"/>
      <c r="C401" s="3"/>
    </row>
    <row r="402" ht="14.25" customHeight="1">
      <c r="A402" s="3"/>
      <c r="C402" s="3"/>
    </row>
    <row r="403" ht="14.25" customHeight="1">
      <c r="A403" s="3"/>
      <c r="C403" s="3"/>
    </row>
    <row r="404" ht="14.25" customHeight="1">
      <c r="A404" s="3"/>
      <c r="C404" s="3"/>
    </row>
    <row r="405" ht="14.25" customHeight="1">
      <c r="A405" s="3"/>
      <c r="C405" s="3"/>
    </row>
    <row r="406" ht="14.25" customHeight="1">
      <c r="A406" s="3"/>
      <c r="C406" s="3"/>
    </row>
    <row r="407" ht="14.25" customHeight="1">
      <c r="A407" s="3"/>
      <c r="C407" s="3"/>
    </row>
    <row r="408" ht="14.25" customHeight="1">
      <c r="A408" s="3"/>
      <c r="C408" s="3"/>
    </row>
    <row r="409" ht="14.25" customHeight="1">
      <c r="A409" s="3"/>
      <c r="C409" s="3"/>
    </row>
    <row r="410" ht="14.25" customHeight="1">
      <c r="A410" s="3"/>
      <c r="C410" s="3"/>
    </row>
    <row r="411" ht="14.25" customHeight="1">
      <c r="A411" s="3"/>
      <c r="C411" s="3"/>
    </row>
    <row r="412" ht="14.25" customHeight="1">
      <c r="A412" s="3"/>
      <c r="C412" s="3"/>
    </row>
    <row r="413" ht="14.25" customHeight="1">
      <c r="A413" s="3"/>
      <c r="C413" s="3"/>
    </row>
    <row r="414" ht="14.25" customHeight="1">
      <c r="A414" s="3"/>
      <c r="C414" s="3"/>
    </row>
    <row r="415" ht="14.25" customHeight="1">
      <c r="A415" s="3"/>
      <c r="C415" s="3"/>
    </row>
    <row r="416" ht="14.25" customHeight="1">
      <c r="A416" s="3"/>
      <c r="C416" s="3"/>
    </row>
    <row r="417" ht="14.25" customHeight="1">
      <c r="A417" s="3"/>
      <c r="C417" s="3"/>
    </row>
    <row r="418" ht="14.25" customHeight="1">
      <c r="A418" s="3"/>
      <c r="C418" s="3"/>
    </row>
    <row r="419" ht="14.25" customHeight="1">
      <c r="A419" s="3"/>
      <c r="C419" s="3"/>
    </row>
    <row r="420" ht="14.25" customHeight="1">
      <c r="A420" s="3"/>
      <c r="C420" s="3"/>
    </row>
    <row r="421" ht="14.25" customHeight="1">
      <c r="A421" s="3"/>
      <c r="C421" s="3"/>
    </row>
    <row r="422" ht="14.25" customHeight="1">
      <c r="A422" s="3"/>
      <c r="C422" s="3"/>
    </row>
    <row r="423" ht="14.25" customHeight="1">
      <c r="A423" s="3"/>
      <c r="C423" s="3"/>
    </row>
    <row r="424" ht="14.25" customHeight="1">
      <c r="A424" s="3"/>
      <c r="C424" s="3"/>
    </row>
    <row r="425" ht="14.25" customHeight="1">
      <c r="A425" s="3"/>
      <c r="C425" s="3"/>
    </row>
    <row r="426" ht="14.25" customHeight="1">
      <c r="A426" s="3"/>
      <c r="C426" s="3"/>
    </row>
    <row r="427" ht="14.25" customHeight="1">
      <c r="A427" s="3"/>
      <c r="C427" s="3"/>
    </row>
    <row r="428" ht="14.25" customHeight="1">
      <c r="A428" s="3"/>
      <c r="C428" s="3"/>
    </row>
    <row r="429" ht="14.25" customHeight="1">
      <c r="A429" s="3"/>
      <c r="C429" s="3"/>
    </row>
    <row r="430" ht="14.25" customHeight="1">
      <c r="A430" s="3"/>
      <c r="C430" s="3"/>
    </row>
    <row r="431" ht="14.25" customHeight="1">
      <c r="A431" s="3"/>
      <c r="C431" s="3"/>
    </row>
    <row r="432" ht="14.25" customHeight="1">
      <c r="A432" s="3"/>
      <c r="C432" s="3"/>
    </row>
    <row r="433" ht="14.25" customHeight="1">
      <c r="A433" s="3"/>
      <c r="C433" s="3"/>
    </row>
    <row r="434" ht="14.25" customHeight="1">
      <c r="A434" s="3"/>
      <c r="C434" s="3"/>
    </row>
    <row r="435" ht="14.25" customHeight="1">
      <c r="A435" s="3"/>
      <c r="C435" s="3"/>
    </row>
    <row r="436" ht="14.25" customHeight="1">
      <c r="A436" s="3"/>
      <c r="C436" s="3"/>
    </row>
    <row r="437" ht="14.25" customHeight="1">
      <c r="A437" s="3"/>
      <c r="C437" s="3"/>
    </row>
    <row r="438" ht="14.25" customHeight="1">
      <c r="A438" s="3"/>
      <c r="C438" s="3"/>
    </row>
    <row r="439" ht="14.25" customHeight="1">
      <c r="A439" s="3"/>
      <c r="C439" s="3"/>
    </row>
    <row r="440" ht="14.25" customHeight="1">
      <c r="A440" s="3"/>
      <c r="C440" s="3"/>
    </row>
    <row r="441" ht="14.25" customHeight="1">
      <c r="A441" s="3"/>
      <c r="C441" s="3"/>
    </row>
    <row r="442" ht="14.25" customHeight="1">
      <c r="A442" s="3"/>
      <c r="C442" s="3"/>
    </row>
    <row r="443" ht="14.25" customHeight="1">
      <c r="A443" s="3"/>
      <c r="C443" s="3"/>
    </row>
    <row r="444" ht="14.25" customHeight="1">
      <c r="A444" s="3"/>
      <c r="C444" s="3"/>
    </row>
    <row r="445" ht="14.25" customHeight="1">
      <c r="A445" s="3"/>
      <c r="C445" s="3"/>
    </row>
    <row r="446" ht="14.25" customHeight="1">
      <c r="A446" s="3"/>
      <c r="C446" s="3"/>
    </row>
    <row r="447" ht="14.25" customHeight="1">
      <c r="A447" s="3"/>
      <c r="C447" s="3"/>
    </row>
    <row r="448" ht="14.25" customHeight="1">
      <c r="A448" s="3"/>
      <c r="C448" s="3"/>
    </row>
    <row r="449" ht="14.25" customHeight="1">
      <c r="A449" s="3"/>
      <c r="C449" s="3"/>
    </row>
    <row r="450" ht="14.25" customHeight="1">
      <c r="A450" s="3"/>
      <c r="C450" s="3"/>
    </row>
    <row r="451" ht="14.25" customHeight="1">
      <c r="A451" s="3"/>
      <c r="C451" s="3"/>
    </row>
    <row r="452" ht="14.25" customHeight="1">
      <c r="A452" s="3"/>
      <c r="C452" s="3"/>
    </row>
    <row r="453" ht="14.25" customHeight="1">
      <c r="A453" s="3"/>
      <c r="C453" s="3"/>
    </row>
    <row r="454" ht="14.25" customHeight="1">
      <c r="A454" s="3"/>
      <c r="C454" s="3"/>
    </row>
    <row r="455" ht="14.25" customHeight="1">
      <c r="A455" s="3"/>
      <c r="C455" s="3"/>
    </row>
    <row r="456" ht="14.25" customHeight="1">
      <c r="A456" s="3"/>
      <c r="C456" s="3"/>
    </row>
    <row r="457" ht="14.25" customHeight="1">
      <c r="A457" s="3"/>
      <c r="C457" s="3"/>
    </row>
    <row r="458" ht="14.25" customHeight="1">
      <c r="A458" s="3"/>
      <c r="C458" s="3"/>
    </row>
    <row r="459" ht="14.25" customHeight="1">
      <c r="A459" s="3"/>
      <c r="C459" s="3"/>
    </row>
    <row r="460" ht="14.25" customHeight="1">
      <c r="A460" s="3"/>
      <c r="C460" s="3"/>
    </row>
    <row r="461" ht="14.25" customHeight="1">
      <c r="A461" s="3"/>
      <c r="C461" s="3"/>
    </row>
    <row r="462" ht="14.25" customHeight="1">
      <c r="A462" s="3"/>
      <c r="C462" s="3"/>
    </row>
    <row r="463" ht="14.25" customHeight="1">
      <c r="A463" s="3"/>
      <c r="C463" s="3"/>
    </row>
    <row r="464" ht="14.25" customHeight="1">
      <c r="A464" s="3"/>
      <c r="C464" s="3"/>
    </row>
    <row r="465" ht="14.25" customHeight="1">
      <c r="A465" s="3"/>
      <c r="C465" s="3"/>
    </row>
    <row r="466" ht="14.25" customHeight="1">
      <c r="A466" s="3"/>
      <c r="C466" s="3"/>
    </row>
    <row r="467" ht="14.25" customHeight="1">
      <c r="A467" s="3"/>
      <c r="C467" s="3"/>
    </row>
    <row r="468" ht="14.25" customHeight="1">
      <c r="A468" s="3"/>
      <c r="C468" s="3"/>
    </row>
    <row r="469" ht="14.25" customHeight="1">
      <c r="A469" s="3"/>
      <c r="C469" s="3"/>
    </row>
    <row r="470" ht="14.25" customHeight="1">
      <c r="A470" s="3"/>
      <c r="C470" s="3"/>
    </row>
    <row r="471" ht="14.25" customHeight="1">
      <c r="A471" s="3"/>
      <c r="C471" s="3"/>
    </row>
    <row r="472" ht="14.25" customHeight="1">
      <c r="A472" s="3"/>
      <c r="C472" s="3"/>
    </row>
    <row r="473" ht="14.25" customHeight="1">
      <c r="A473" s="3"/>
      <c r="C473" s="3"/>
    </row>
    <row r="474" ht="14.25" customHeight="1">
      <c r="A474" s="3"/>
      <c r="C474" s="3"/>
    </row>
    <row r="475" ht="14.25" customHeight="1">
      <c r="A475" s="3"/>
      <c r="C475" s="3"/>
    </row>
    <row r="476" ht="14.25" customHeight="1">
      <c r="A476" s="3"/>
      <c r="C476" s="3"/>
    </row>
    <row r="477" ht="14.25" customHeight="1">
      <c r="A477" s="3"/>
      <c r="C477" s="3"/>
    </row>
    <row r="478" ht="14.25" customHeight="1">
      <c r="A478" s="3"/>
      <c r="C478" s="3"/>
    </row>
    <row r="479" ht="14.25" customHeight="1">
      <c r="A479" s="3"/>
      <c r="C479" s="3"/>
    </row>
    <row r="480" ht="14.25" customHeight="1">
      <c r="A480" s="3"/>
      <c r="C480" s="3"/>
    </row>
    <row r="481" ht="14.25" customHeight="1">
      <c r="A481" s="3"/>
      <c r="C481" s="3"/>
    </row>
    <row r="482" ht="14.25" customHeight="1">
      <c r="A482" s="3"/>
      <c r="C482" s="3"/>
    </row>
    <row r="483" ht="14.25" customHeight="1">
      <c r="A483" s="3"/>
      <c r="C483" s="3"/>
    </row>
    <row r="484" ht="14.25" customHeight="1">
      <c r="A484" s="3"/>
      <c r="C484" s="3"/>
    </row>
    <row r="485" ht="14.25" customHeight="1">
      <c r="A485" s="3"/>
      <c r="C485" s="3"/>
    </row>
    <row r="486" ht="14.25" customHeight="1">
      <c r="A486" s="3"/>
      <c r="C486" s="3"/>
    </row>
    <row r="487" ht="14.25" customHeight="1">
      <c r="A487" s="3"/>
      <c r="C487" s="3"/>
    </row>
    <row r="488" ht="14.25" customHeight="1">
      <c r="A488" s="3"/>
      <c r="C488" s="3"/>
    </row>
    <row r="489" ht="14.25" customHeight="1">
      <c r="A489" s="3"/>
      <c r="C489" s="3"/>
    </row>
    <row r="490" ht="14.25" customHeight="1">
      <c r="A490" s="3"/>
      <c r="C490" s="3"/>
    </row>
    <row r="491" ht="14.25" customHeight="1">
      <c r="A491" s="3"/>
      <c r="C491" s="3"/>
    </row>
    <row r="492" ht="14.25" customHeight="1">
      <c r="A492" s="3"/>
      <c r="C492" s="3"/>
    </row>
    <row r="493" ht="14.25" customHeight="1">
      <c r="A493" s="3"/>
      <c r="C493" s="3"/>
    </row>
    <row r="494" ht="14.25" customHeight="1">
      <c r="A494" s="3"/>
      <c r="C494" s="3"/>
    </row>
    <row r="495" ht="14.25" customHeight="1">
      <c r="A495" s="3"/>
      <c r="C495" s="3"/>
    </row>
    <row r="496" ht="14.25" customHeight="1">
      <c r="A496" s="3"/>
      <c r="C496" s="3"/>
    </row>
    <row r="497" ht="14.25" customHeight="1">
      <c r="A497" s="3"/>
      <c r="C497" s="3"/>
    </row>
    <row r="498" ht="14.25" customHeight="1">
      <c r="A498" s="3"/>
      <c r="C498" s="3"/>
    </row>
    <row r="499" ht="14.25" customHeight="1">
      <c r="A499" s="3"/>
      <c r="C499" s="3"/>
    </row>
    <row r="500" ht="14.25" customHeight="1">
      <c r="A500" s="3"/>
      <c r="C500" s="3"/>
    </row>
    <row r="501" ht="14.25" customHeight="1">
      <c r="A501" s="3"/>
      <c r="C501" s="3"/>
    </row>
    <row r="502" ht="14.25" customHeight="1">
      <c r="A502" s="3"/>
      <c r="C502" s="3"/>
    </row>
    <row r="503" ht="14.25" customHeight="1">
      <c r="A503" s="3"/>
      <c r="C503" s="3"/>
    </row>
    <row r="504" ht="14.25" customHeight="1">
      <c r="A504" s="3"/>
      <c r="C504" s="3"/>
    </row>
    <row r="505" ht="14.25" customHeight="1">
      <c r="A505" s="3"/>
      <c r="C505" s="3"/>
    </row>
    <row r="506" ht="14.25" customHeight="1">
      <c r="A506" s="3"/>
      <c r="C506" s="3"/>
    </row>
    <row r="507" ht="14.25" customHeight="1">
      <c r="A507" s="3"/>
      <c r="C507" s="3"/>
    </row>
    <row r="508" ht="14.25" customHeight="1">
      <c r="A508" s="3"/>
      <c r="C508" s="3"/>
    </row>
    <row r="509" ht="14.25" customHeight="1">
      <c r="A509" s="3"/>
      <c r="C509" s="3"/>
    </row>
    <row r="510" ht="14.25" customHeight="1">
      <c r="A510" s="3"/>
      <c r="C510" s="3"/>
    </row>
    <row r="511" ht="14.25" customHeight="1">
      <c r="A511" s="3"/>
      <c r="C511" s="3"/>
    </row>
    <row r="512" ht="14.25" customHeight="1">
      <c r="A512" s="3"/>
      <c r="C512" s="3"/>
    </row>
    <row r="513" ht="14.25" customHeight="1">
      <c r="A513" s="3"/>
      <c r="C513" s="3"/>
    </row>
    <row r="514" ht="14.25" customHeight="1">
      <c r="A514" s="3"/>
      <c r="C514" s="3"/>
    </row>
    <row r="515" ht="14.25" customHeight="1">
      <c r="A515" s="3"/>
      <c r="C515" s="3"/>
    </row>
    <row r="516" ht="14.25" customHeight="1">
      <c r="A516" s="3"/>
      <c r="C516" s="3"/>
    </row>
    <row r="517" ht="14.25" customHeight="1">
      <c r="A517" s="3"/>
      <c r="C517" s="3"/>
    </row>
    <row r="518" ht="14.25" customHeight="1">
      <c r="A518" s="3"/>
      <c r="C518" s="3"/>
    </row>
    <row r="519" ht="14.25" customHeight="1">
      <c r="A519" s="3"/>
      <c r="C519" s="3"/>
    </row>
    <row r="520" ht="14.25" customHeight="1">
      <c r="A520" s="3"/>
      <c r="C520" s="3"/>
    </row>
    <row r="521" ht="14.25" customHeight="1">
      <c r="A521" s="3"/>
      <c r="C521" s="3"/>
    </row>
    <row r="522" ht="14.25" customHeight="1">
      <c r="A522" s="3"/>
      <c r="C522" s="3"/>
    </row>
    <row r="523" ht="14.25" customHeight="1">
      <c r="A523" s="3"/>
      <c r="C523" s="3"/>
    </row>
    <row r="524" ht="14.25" customHeight="1">
      <c r="A524" s="3"/>
      <c r="C524" s="3"/>
    </row>
    <row r="525" ht="14.25" customHeight="1">
      <c r="A525" s="3"/>
      <c r="C525" s="3"/>
    </row>
    <row r="526" ht="14.25" customHeight="1">
      <c r="A526" s="3"/>
      <c r="C526" s="3"/>
    </row>
    <row r="527" ht="14.25" customHeight="1">
      <c r="A527" s="3"/>
      <c r="C527" s="3"/>
    </row>
    <row r="528" ht="14.25" customHeight="1">
      <c r="A528" s="3"/>
      <c r="C528" s="3"/>
    </row>
    <row r="529" ht="14.25" customHeight="1">
      <c r="A529" s="3"/>
      <c r="C529" s="3"/>
    </row>
    <row r="530" ht="14.25" customHeight="1">
      <c r="A530" s="3"/>
      <c r="C530" s="3"/>
    </row>
    <row r="531" ht="14.25" customHeight="1">
      <c r="A531" s="3"/>
      <c r="C531" s="3"/>
    </row>
    <row r="532" ht="14.25" customHeight="1">
      <c r="A532" s="3"/>
      <c r="C532" s="3"/>
    </row>
    <row r="533" ht="14.25" customHeight="1">
      <c r="A533" s="3"/>
      <c r="C533" s="3"/>
    </row>
    <row r="534" ht="14.25" customHeight="1">
      <c r="A534" s="3"/>
      <c r="C534" s="3"/>
    </row>
    <row r="535" ht="14.25" customHeight="1">
      <c r="A535" s="3"/>
      <c r="C535" s="3"/>
    </row>
    <row r="536" ht="14.25" customHeight="1">
      <c r="A536" s="3"/>
      <c r="C536" s="3"/>
    </row>
    <row r="537" ht="14.25" customHeight="1">
      <c r="A537" s="3"/>
      <c r="C537" s="3"/>
    </row>
    <row r="538" ht="14.25" customHeight="1">
      <c r="A538" s="3"/>
      <c r="C538" s="3"/>
    </row>
    <row r="539" ht="14.25" customHeight="1">
      <c r="A539" s="3"/>
      <c r="C539" s="3"/>
    </row>
    <row r="540" ht="14.25" customHeight="1">
      <c r="A540" s="3"/>
      <c r="C540" s="3"/>
    </row>
    <row r="541" ht="14.25" customHeight="1">
      <c r="A541" s="3"/>
      <c r="C541" s="3"/>
    </row>
    <row r="542" ht="14.25" customHeight="1">
      <c r="A542" s="3"/>
      <c r="C542" s="3"/>
    </row>
    <row r="543" ht="14.25" customHeight="1">
      <c r="A543" s="3"/>
      <c r="C543" s="3"/>
    </row>
    <row r="544" ht="14.25" customHeight="1">
      <c r="A544" s="3"/>
      <c r="C544" s="3"/>
    </row>
    <row r="545" ht="14.25" customHeight="1">
      <c r="A545" s="3"/>
      <c r="C545" s="3"/>
    </row>
    <row r="546" ht="14.25" customHeight="1">
      <c r="A546" s="3"/>
      <c r="C546" s="3"/>
    </row>
    <row r="547" ht="14.25" customHeight="1">
      <c r="A547" s="3"/>
      <c r="C547" s="3"/>
    </row>
    <row r="548" ht="14.25" customHeight="1">
      <c r="A548" s="3"/>
      <c r="C548" s="3"/>
    </row>
    <row r="549" ht="14.25" customHeight="1">
      <c r="A549" s="3"/>
      <c r="C549" s="3"/>
    </row>
    <row r="550" ht="14.25" customHeight="1">
      <c r="A550" s="3"/>
      <c r="C550" s="3"/>
    </row>
    <row r="551" ht="14.25" customHeight="1">
      <c r="A551" s="3"/>
      <c r="C551" s="3"/>
    </row>
    <row r="552" ht="14.25" customHeight="1">
      <c r="A552" s="3"/>
      <c r="C552" s="3"/>
    </row>
    <row r="553" ht="14.25" customHeight="1">
      <c r="A553" s="3"/>
      <c r="C553" s="3"/>
    </row>
    <row r="554" ht="14.25" customHeight="1">
      <c r="A554" s="3"/>
      <c r="C554" s="3"/>
    </row>
    <row r="555" ht="14.25" customHeight="1">
      <c r="A555" s="3"/>
      <c r="C555" s="3"/>
    </row>
    <row r="556" ht="14.25" customHeight="1">
      <c r="A556" s="3"/>
      <c r="C556" s="3"/>
    </row>
    <row r="557" ht="14.25" customHeight="1">
      <c r="A557" s="3"/>
      <c r="C557" s="3"/>
    </row>
    <row r="558" ht="14.25" customHeight="1">
      <c r="A558" s="3"/>
      <c r="C558" s="3"/>
    </row>
    <row r="559" ht="14.25" customHeight="1">
      <c r="A559" s="3"/>
      <c r="C559" s="3"/>
    </row>
    <row r="560" ht="14.25" customHeight="1">
      <c r="A560" s="3"/>
      <c r="C560" s="3"/>
    </row>
    <row r="561" ht="14.25" customHeight="1">
      <c r="A561" s="3"/>
      <c r="C561" s="3"/>
    </row>
    <row r="562" ht="14.25" customHeight="1">
      <c r="A562" s="3"/>
      <c r="C562" s="3"/>
    </row>
    <row r="563" ht="14.25" customHeight="1">
      <c r="A563" s="3"/>
      <c r="C563" s="3"/>
    </row>
    <row r="564" ht="14.25" customHeight="1">
      <c r="A564" s="3"/>
      <c r="C564" s="3"/>
    </row>
    <row r="565" ht="14.25" customHeight="1">
      <c r="A565" s="3"/>
      <c r="C565" s="3"/>
    </row>
    <row r="566" ht="14.25" customHeight="1">
      <c r="A566" s="3"/>
      <c r="C566" s="3"/>
    </row>
    <row r="567" ht="14.25" customHeight="1">
      <c r="A567" s="3"/>
      <c r="C567" s="3"/>
    </row>
    <row r="568" ht="14.25" customHeight="1">
      <c r="A568" s="3"/>
      <c r="C568" s="3"/>
    </row>
    <row r="569" ht="14.25" customHeight="1">
      <c r="A569" s="3"/>
      <c r="C569" s="3"/>
    </row>
    <row r="570" ht="14.25" customHeight="1">
      <c r="A570" s="3"/>
      <c r="C570" s="3"/>
    </row>
    <row r="571" ht="14.25" customHeight="1">
      <c r="A571" s="3"/>
      <c r="C571" s="3"/>
    </row>
    <row r="572" ht="14.25" customHeight="1">
      <c r="A572" s="3"/>
      <c r="C572" s="3"/>
    </row>
    <row r="573" ht="14.25" customHeight="1">
      <c r="A573" s="3"/>
      <c r="C573" s="3"/>
    </row>
    <row r="574" ht="14.25" customHeight="1">
      <c r="A574" s="3"/>
      <c r="C574" s="3"/>
    </row>
    <row r="575" ht="14.25" customHeight="1">
      <c r="A575" s="3"/>
      <c r="C575" s="3"/>
    </row>
    <row r="576" ht="14.25" customHeight="1">
      <c r="A576" s="3"/>
      <c r="C576" s="3"/>
    </row>
    <row r="577" ht="14.25" customHeight="1">
      <c r="A577" s="3"/>
      <c r="C577" s="3"/>
    </row>
    <row r="578" ht="14.25" customHeight="1">
      <c r="A578" s="3"/>
      <c r="C578" s="3"/>
    </row>
    <row r="579" ht="14.25" customHeight="1">
      <c r="A579" s="3"/>
      <c r="C579" s="3"/>
    </row>
    <row r="580" ht="14.25" customHeight="1">
      <c r="A580" s="3"/>
      <c r="C580" s="3"/>
    </row>
    <row r="581" ht="14.25" customHeight="1">
      <c r="A581" s="3"/>
      <c r="C581" s="3"/>
    </row>
    <row r="582" ht="14.25" customHeight="1">
      <c r="A582" s="3"/>
      <c r="C582" s="3"/>
    </row>
    <row r="583" ht="14.25" customHeight="1">
      <c r="A583" s="3"/>
      <c r="C583" s="3"/>
    </row>
    <row r="584" ht="14.25" customHeight="1">
      <c r="A584" s="3"/>
      <c r="C584" s="3"/>
    </row>
    <row r="585" ht="14.25" customHeight="1">
      <c r="A585" s="3"/>
      <c r="C585" s="3"/>
    </row>
    <row r="586" ht="14.25" customHeight="1">
      <c r="A586" s="3"/>
      <c r="C586" s="3"/>
    </row>
    <row r="587" ht="14.25" customHeight="1">
      <c r="A587" s="3"/>
      <c r="C587" s="3"/>
    </row>
    <row r="588" ht="14.25" customHeight="1">
      <c r="A588" s="3"/>
      <c r="C588" s="3"/>
    </row>
    <row r="589" ht="14.25" customHeight="1">
      <c r="A589" s="3"/>
      <c r="C589" s="3"/>
    </row>
    <row r="590" ht="14.25" customHeight="1">
      <c r="A590" s="3"/>
      <c r="C590" s="3"/>
    </row>
    <row r="591" ht="14.25" customHeight="1">
      <c r="A591" s="3"/>
      <c r="C591" s="3"/>
    </row>
    <row r="592" ht="14.25" customHeight="1">
      <c r="A592" s="3"/>
      <c r="C592" s="3"/>
    </row>
    <row r="593" ht="14.25" customHeight="1">
      <c r="A593" s="3"/>
      <c r="C593" s="3"/>
    </row>
    <row r="594" ht="14.25" customHeight="1">
      <c r="A594" s="3"/>
      <c r="C594" s="3"/>
    </row>
    <row r="595" ht="14.25" customHeight="1">
      <c r="A595" s="3"/>
      <c r="C595" s="3"/>
    </row>
    <row r="596" ht="14.25" customHeight="1">
      <c r="A596" s="3"/>
      <c r="C596" s="3"/>
    </row>
    <row r="597" ht="14.25" customHeight="1">
      <c r="A597" s="3"/>
      <c r="C597" s="3"/>
    </row>
    <row r="598" ht="14.25" customHeight="1">
      <c r="A598" s="3"/>
      <c r="C598" s="3"/>
    </row>
    <row r="599" ht="14.25" customHeight="1">
      <c r="A599" s="3"/>
      <c r="C599" s="3"/>
    </row>
    <row r="600" ht="14.25" customHeight="1">
      <c r="A600" s="3"/>
      <c r="C600" s="3"/>
    </row>
    <row r="601" ht="14.25" customHeight="1">
      <c r="A601" s="3"/>
      <c r="C601" s="3"/>
    </row>
    <row r="602" ht="14.25" customHeight="1">
      <c r="A602" s="3"/>
      <c r="C602" s="3"/>
    </row>
    <row r="603" ht="14.25" customHeight="1">
      <c r="A603" s="3"/>
      <c r="C603" s="3"/>
    </row>
    <row r="604" ht="14.25" customHeight="1">
      <c r="A604" s="3"/>
      <c r="C604" s="3"/>
    </row>
    <row r="605" ht="14.25" customHeight="1">
      <c r="A605" s="3"/>
      <c r="C605" s="3"/>
    </row>
    <row r="606" ht="14.25" customHeight="1">
      <c r="A606" s="3"/>
      <c r="C606" s="3"/>
    </row>
    <row r="607" ht="14.25" customHeight="1">
      <c r="A607" s="3"/>
      <c r="C607" s="3"/>
    </row>
    <row r="608" ht="14.25" customHeight="1">
      <c r="A608" s="3"/>
      <c r="C608" s="3"/>
    </row>
    <row r="609" ht="14.25" customHeight="1">
      <c r="A609" s="3"/>
      <c r="C609" s="3"/>
    </row>
    <row r="610" ht="14.25" customHeight="1">
      <c r="A610" s="3"/>
      <c r="C610" s="3"/>
    </row>
    <row r="611" ht="14.25" customHeight="1">
      <c r="A611" s="3"/>
      <c r="C611" s="3"/>
    </row>
    <row r="612" ht="14.25" customHeight="1">
      <c r="A612" s="3"/>
      <c r="C612" s="3"/>
    </row>
    <row r="613" ht="14.25" customHeight="1">
      <c r="A613" s="3"/>
      <c r="C613" s="3"/>
    </row>
    <row r="614" ht="14.25" customHeight="1">
      <c r="A614" s="3"/>
      <c r="C614" s="3"/>
    </row>
    <row r="615" ht="14.25" customHeight="1">
      <c r="A615" s="3"/>
      <c r="C615" s="3"/>
    </row>
    <row r="616" ht="14.25" customHeight="1">
      <c r="A616" s="3"/>
      <c r="C616" s="3"/>
    </row>
    <row r="617" ht="14.25" customHeight="1">
      <c r="A617" s="3"/>
      <c r="C617" s="3"/>
    </row>
    <row r="618" ht="14.25" customHeight="1">
      <c r="A618" s="3"/>
      <c r="C618" s="3"/>
    </row>
    <row r="619" ht="14.25" customHeight="1">
      <c r="A619" s="3"/>
      <c r="C619" s="3"/>
    </row>
    <row r="620" ht="14.25" customHeight="1">
      <c r="A620" s="3"/>
      <c r="C620" s="3"/>
    </row>
    <row r="621" ht="14.25" customHeight="1">
      <c r="A621" s="3"/>
      <c r="C621" s="3"/>
    </row>
    <row r="622" ht="14.25" customHeight="1">
      <c r="A622" s="3"/>
      <c r="C622" s="3"/>
    </row>
    <row r="623" ht="14.25" customHeight="1">
      <c r="A623" s="3"/>
      <c r="C623" s="3"/>
    </row>
    <row r="624" ht="14.25" customHeight="1">
      <c r="A624" s="3"/>
      <c r="C624" s="3"/>
    </row>
    <row r="625" ht="14.25" customHeight="1">
      <c r="A625" s="3"/>
      <c r="C625" s="3"/>
    </row>
    <row r="626" ht="14.25" customHeight="1">
      <c r="A626" s="3"/>
      <c r="C626" s="3"/>
    </row>
    <row r="627" ht="14.25" customHeight="1">
      <c r="A627" s="3"/>
      <c r="C627" s="3"/>
    </row>
    <row r="628" ht="14.25" customHeight="1">
      <c r="A628" s="3"/>
      <c r="C628" s="3"/>
    </row>
    <row r="629" ht="14.25" customHeight="1">
      <c r="A629" s="3"/>
      <c r="C629" s="3"/>
    </row>
    <row r="630" ht="14.25" customHeight="1">
      <c r="A630" s="3"/>
      <c r="C630" s="3"/>
    </row>
    <row r="631" ht="14.25" customHeight="1">
      <c r="A631" s="3"/>
      <c r="C631" s="3"/>
    </row>
    <row r="632" ht="14.25" customHeight="1">
      <c r="A632" s="3"/>
      <c r="C632" s="3"/>
    </row>
    <row r="633" ht="14.25" customHeight="1">
      <c r="A633" s="3"/>
      <c r="C633" s="3"/>
    </row>
    <row r="634" ht="14.25" customHeight="1">
      <c r="A634" s="3"/>
      <c r="C634" s="3"/>
    </row>
    <row r="635" ht="14.25" customHeight="1">
      <c r="A635" s="3"/>
      <c r="C635" s="3"/>
    </row>
    <row r="636" ht="14.25" customHeight="1">
      <c r="A636" s="3"/>
      <c r="C636" s="3"/>
    </row>
    <row r="637" ht="14.25" customHeight="1">
      <c r="A637" s="3"/>
      <c r="C637" s="3"/>
    </row>
    <row r="638" ht="14.25" customHeight="1">
      <c r="A638" s="3"/>
      <c r="C638" s="3"/>
    </row>
    <row r="639" ht="14.25" customHeight="1">
      <c r="A639" s="3"/>
      <c r="C639" s="3"/>
    </row>
    <row r="640" ht="14.25" customHeight="1">
      <c r="A640" s="3"/>
      <c r="C640" s="3"/>
    </row>
    <row r="641" ht="14.25" customHeight="1">
      <c r="A641" s="3"/>
      <c r="C641" s="3"/>
    </row>
    <row r="642" ht="14.25" customHeight="1">
      <c r="A642" s="3"/>
      <c r="C642" s="3"/>
    </row>
    <row r="643" ht="14.25" customHeight="1">
      <c r="A643" s="3"/>
      <c r="C643" s="3"/>
    </row>
    <row r="644" ht="14.25" customHeight="1">
      <c r="A644" s="3"/>
      <c r="C644" s="3"/>
    </row>
    <row r="645" ht="14.25" customHeight="1">
      <c r="A645" s="3"/>
      <c r="C645" s="3"/>
    </row>
    <row r="646" ht="14.25" customHeight="1">
      <c r="A646" s="3"/>
      <c r="C646" s="3"/>
    </row>
    <row r="647" ht="14.25" customHeight="1">
      <c r="A647" s="3"/>
      <c r="C647" s="3"/>
    </row>
    <row r="648" ht="14.25" customHeight="1">
      <c r="A648" s="3"/>
      <c r="C648" s="3"/>
    </row>
    <row r="649" ht="14.25" customHeight="1">
      <c r="A649" s="3"/>
      <c r="C649" s="3"/>
    </row>
    <row r="650" ht="14.25" customHeight="1">
      <c r="A650" s="3"/>
      <c r="C650" s="3"/>
    </row>
    <row r="651" ht="14.25" customHeight="1">
      <c r="A651" s="3"/>
      <c r="C651" s="3"/>
    </row>
    <row r="652" ht="14.25" customHeight="1">
      <c r="A652" s="3"/>
      <c r="C652" s="3"/>
    </row>
    <row r="653" ht="14.25" customHeight="1">
      <c r="A653" s="3"/>
      <c r="C653" s="3"/>
    </row>
    <row r="654" ht="14.25" customHeight="1">
      <c r="A654" s="3"/>
      <c r="C654" s="3"/>
    </row>
    <row r="655" ht="14.25" customHeight="1">
      <c r="A655" s="3"/>
      <c r="C655" s="3"/>
    </row>
    <row r="656" ht="14.25" customHeight="1">
      <c r="A656" s="3"/>
      <c r="C656" s="3"/>
    </row>
    <row r="657" ht="14.25" customHeight="1">
      <c r="A657" s="3"/>
      <c r="C657" s="3"/>
    </row>
    <row r="658" ht="14.25" customHeight="1">
      <c r="A658" s="3"/>
      <c r="C658" s="3"/>
    </row>
    <row r="659" ht="14.25" customHeight="1">
      <c r="A659" s="3"/>
      <c r="C659" s="3"/>
    </row>
    <row r="660" ht="14.25" customHeight="1">
      <c r="A660" s="3"/>
      <c r="C660" s="3"/>
    </row>
    <row r="661" ht="14.25" customHeight="1">
      <c r="A661" s="3"/>
      <c r="C661" s="3"/>
    </row>
    <row r="662" ht="14.25" customHeight="1">
      <c r="A662" s="3"/>
      <c r="C662" s="3"/>
    </row>
    <row r="663" ht="14.25" customHeight="1">
      <c r="A663" s="3"/>
      <c r="C663" s="3"/>
    </row>
    <row r="664" ht="14.25" customHeight="1">
      <c r="A664" s="3"/>
      <c r="C664" s="3"/>
    </row>
    <row r="665" ht="14.25" customHeight="1">
      <c r="A665" s="3"/>
      <c r="C665" s="3"/>
    </row>
    <row r="666" ht="14.25" customHeight="1">
      <c r="A666" s="3"/>
      <c r="C666" s="3"/>
    </row>
    <row r="667" ht="14.25" customHeight="1">
      <c r="A667" s="3"/>
      <c r="C667" s="3"/>
    </row>
    <row r="668" ht="14.25" customHeight="1">
      <c r="A668" s="3"/>
      <c r="C668" s="3"/>
    </row>
    <row r="669" ht="14.25" customHeight="1">
      <c r="A669" s="3"/>
      <c r="C669" s="3"/>
    </row>
    <row r="670" ht="14.25" customHeight="1">
      <c r="A670" s="3"/>
      <c r="C670" s="3"/>
    </row>
    <row r="671" ht="14.25" customHeight="1">
      <c r="A671" s="3"/>
      <c r="C671" s="3"/>
    </row>
    <row r="672" ht="14.25" customHeight="1">
      <c r="A672" s="3"/>
      <c r="C672" s="3"/>
    </row>
    <row r="673" ht="14.25" customHeight="1">
      <c r="A673" s="3"/>
      <c r="C673" s="3"/>
    </row>
    <row r="674" ht="14.25" customHeight="1">
      <c r="A674" s="3"/>
      <c r="C674" s="3"/>
    </row>
    <row r="675" ht="14.25" customHeight="1">
      <c r="A675" s="3"/>
      <c r="C675" s="3"/>
    </row>
    <row r="676" ht="14.25" customHeight="1">
      <c r="A676" s="3"/>
      <c r="C676" s="3"/>
    </row>
    <row r="677" ht="14.25" customHeight="1">
      <c r="A677" s="3"/>
      <c r="C677" s="3"/>
    </row>
    <row r="678" ht="14.25" customHeight="1">
      <c r="A678" s="3"/>
      <c r="C678" s="3"/>
    </row>
    <row r="679" ht="14.25" customHeight="1">
      <c r="A679" s="3"/>
      <c r="C679" s="3"/>
    </row>
    <row r="680" ht="14.25" customHeight="1">
      <c r="A680" s="3"/>
      <c r="C680" s="3"/>
    </row>
    <row r="681" ht="14.25" customHeight="1">
      <c r="A681" s="3"/>
      <c r="C681" s="3"/>
    </row>
    <row r="682" ht="14.25" customHeight="1">
      <c r="A682" s="3"/>
      <c r="C682" s="3"/>
    </row>
    <row r="683" ht="14.25" customHeight="1">
      <c r="A683" s="3"/>
      <c r="C683" s="3"/>
    </row>
    <row r="684" ht="14.25" customHeight="1">
      <c r="A684" s="3"/>
      <c r="C684" s="3"/>
    </row>
    <row r="685" ht="14.25" customHeight="1">
      <c r="A685" s="3"/>
      <c r="C685" s="3"/>
    </row>
    <row r="686" ht="14.25" customHeight="1">
      <c r="A686" s="3"/>
      <c r="C686" s="3"/>
    </row>
    <row r="687" ht="14.25" customHeight="1">
      <c r="A687" s="3"/>
      <c r="C687" s="3"/>
    </row>
    <row r="688" ht="14.25" customHeight="1">
      <c r="A688" s="3"/>
      <c r="C688" s="3"/>
    </row>
    <row r="689" ht="14.25" customHeight="1">
      <c r="A689" s="3"/>
      <c r="C689" s="3"/>
    </row>
    <row r="690" ht="14.25" customHeight="1">
      <c r="A690" s="3"/>
      <c r="C690" s="3"/>
    </row>
    <row r="691" ht="14.25" customHeight="1">
      <c r="A691" s="3"/>
      <c r="C691" s="3"/>
    </row>
    <row r="692" ht="14.25" customHeight="1">
      <c r="A692" s="3"/>
      <c r="C692" s="3"/>
    </row>
    <row r="693" ht="14.25" customHeight="1">
      <c r="A693" s="3"/>
      <c r="C693" s="3"/>
    </row>
    <row r="694" ht="14.25" customHeight="1">
      <c r="A694" s="3"/>
      <c r="C694" s="3"/>
    </row>
    <row r="695" ht="14.25" customHeight="1">
      <c r="A695" s="3"/>
      <c r="C695" s="3"/>
    </row>
    <row r="696" ht="14.25" customHeight="1">
      <c r="A696" s="3"/>
      <c r="C696" s="3"/>
    </row>
    <row r="697" ht="14.25" customHeight="1">
      <c r="A697" s="3"/>
      <c r="C697" s="3"/>
    </row>
    <row r="698" ht="14.25" customHeight="1">
      <c r="A698" s="3"/>
      <c r="C698" s="3"/>
    </row>
    <row r="699" ht="14.25" customHeight="1">
      <c r="A699" s="3"/>
      <c r="C699" s="3"/>
    </row>
    <row r="700" ht="14.25" customHeight="1">
      <c r="A700" s="3"/>
      <c r="C700" s="3"/>
    </row>
    <row r="701" ht="14.25" customHeight="1">
      <c r="A701" s="3"/>
      <c r="C701" s="3"/>
    </row>
    <row r="702" ht="14.25" customHeight="1">
      <c r="A702" s="3"/>
      <c r="C702" s="3"/>
    </row>
    <row r="703" ht="14.25" customHeight="1">
      <c r="A703" s="3"/>
      <c r="C703" s="3"/>
    </row>
    <row r="704" ht="14.25" customHeight="1">
      <c r="A704" s="3"/>
      <c r="C704" s="3"/>
    </row>
    <row r="705" ht="14.25" customHeight="1">
      <c r="A705" s="3"/>
      <c r="C705" s="3"/>
    </row>
    <row r="706" ht="14.25" customHeight="1">
      <c r="A706" s="3"/>
      <c r="C706" s="3"/>
    </row>
    <row r="707" ht="14.25" customHeight="1">
      <c r="A707" s="3"/>
      <c r="C707" s="3"/>
    </row>
    <row r="708" ht="14.25" customHeight="1">
      <c r="A708" s="3"/>
      <c r="C708" s="3"/>
    </row>
    <row r="709" ht="14.25" customHeight="1">
      <c r="A709" s="3"/>
      <c r="C709" s="3"/>
    </row>
    <row r="710" ht="14.25" customHeight="1">
      <c r="A710" s="3"/>
      <c r="C710" s="3"/>
    </row>
    <row r="711" ht="14.25" customHeight="1">
      <c r="A711" s="3"/>
      <c r="C711" s="3"/>
    </row>
    <row r="712" ht="14.25" customHeight="1">
      <c r="A712" s="3"/>
      <c r="C712" s="3"/>
    </row>
    <row r="713" ht="14.25" customHeight="1">
      <c r="A713" s="3"/>
      <c r="C713" s="3"/>
    </row>
    <row r="714" ht="14.25" customHeight="1">
      <c r="A714" s="3"/>
      <c r="C714" s="3"/>
    </row>
    <row r="715" ht="14.25" customHeight="1">
      <c r="A715" s="3"/>
      <c r="C715" s="3"/>
    </row>
    <row r="716" ht="14.25" customHeight="1">
      <c r="A716" s="3"/>
      <c r="C716" s="3"/>
    </row>
    <row r="717" ht="14.25" customHeight="1">
      <c r="A717" s="3"/>
      <c r="C717" s="3"/>
    </row>
    <row r="718" ht="14.25" customHeight="1">
      <c r="A718" s="3"/>
      <c r="C718" s="3"/>
    </row>
    <row r="719" ht="14.25" customHeight="1">
      <c r="A719" s="3"/>
      <c r="C719" s="3"/>
    </row>
    <row r="720" ht="14.25" customHeight="1">
      <c r="A720" s="3"/>
      <c r="C720" s="3"/>
    </row>
    <row r="721" ht="14.25" customHeight="1">
      <c r="A721" s="3"/>
      <c r="C721" s="3"/>
    </row>
    <row r="722" ht="14.25" customHeight="1">
      <c r="A722" s="3"/>
      <c r="C722" s="3"/>
    </row>
    <row r="723" ht="14.25" customHeight="1">
      <c r="A723" s="3"/>
      <c r="C723" s="3"/>
    </row>
    <row r="724" ht="14.25" customHeight="1">
      <c r="A724" s="3"/>
      <c r="C724" s="3"/>
    </row>
    <row r="725" ht="14.25" customHeight="1">
      <c r="A725" s="3"/>
      <c r="C725" s="3"/>
    </row>
    <row r="726" ht="14.25" customHeight="1">
      <c r="A726" s="3"/>
      <c r="C726" s="3"/>
    </row>
    <row r="727" ht="14.25" customHeight="1">
      <c r="A727" s="3"/>
      <c r="C727" s="3"/>
    </row>
    <row r="728" ht="14.25" customHeight="1">
      <c r="A728" s="3"/>
      <c r="C728" s="3"/>
    </row>
    <row r="729" ht="14.25" customHeight="1">
      <c r="A729" s="3"/>
      <c r="C729" s="3"/>
    </row>
    <row r="730" ht="14.25" customHeight="1">
      <c r="A730" s="3"/>
      <c r="C730" s="3"/>
    </row>
    <row r="731" ht="14.25" customHeight="1">
      <c r="A731" s="3"/>
      <c r="C731" s="3"/>
    </row>
    <row r="732" ht="14.25" customHeight="1">
      <c r="A732" s="3"/>
      <c r="C732" s="3"/>
    </row>
    <row r="733" ht="14.25" customHeight="1">
      <c r="A733" s="3"/>
      <c r="C733" s="3"/>
    </row>
    <row r="734" ht="14.25" customHeight="1">
      <c r="A734" s="3"/>
      <c r="C734" s="3"/>
    </row>
    <row r="735" ht="14.25" customHeight="1">
      <c r="A735" s="3"/>
      <c r="C735" s="3"/>
    </row>
    <row r="736" ht="14.25" customHeight="1">
      <c r="A736" s="3"/>
      <c r="C736" s="3"/>
    </row>
    <row r="737" ht="14.25" customHeight="1">
      <c r="A737" s="3"/>
      <c r="C737" s="3"/>
    </row>
    <row r="738" ht="14.25" customHeight="1">
      <c r="A738" s="3"/>
      <c r="C738" s="3"/>
    </row>
    <row r="739" ht="14.25" customHeight="1">
      <c r="A739" s="3"/>
      <c r="C739" s="3"/>
    </row>
    <row r="740" ht="14.25" customHeight="1">
      <c r="A740" s="3"/>
      <c r="C740" s="3"/>
    </row>
    <row r="741" ht="14.25" customHeight="1">
      <c r="A741" s="3"/>
      <c r="C741" s="3"/>
    </row>
    <row r="742" ht="14.25" customHeight="1">
      <c r="A742" s="3"/>
      <c r="C742" s="3"/>
    </row>
    <row r="743" ht="14.25" customHeight="1">
      <c r="A743" s="3"/>
      <c r="C743" s="3"/>
    </row>
    <row r="744" ht="14.25" customHeight="1">
      <c r="A744" s="3"/>
      <c r="C744" s="3"/>
    </row>
    <row r="745" ht="14.25" customHeight="1">
      <c r="A745" s="3"/>
      <c r="C745" s="3"/>
    </row>
    <row r="746" ht="14.25" customHeight="1">
      <c r="A746" s="3"/>
      <c r="C746" s="3"/>
    </row>
    <row r="747" ht="14.25" customHeight="1">
      <c r="A747" s="3"/>
      <c r="C747" s="3"/>
    </row>
    <row r="748" ht="14.25" customHeight="1">
      <c r="A748" s="3"/>
      <c r="C748" s="3"/>
    </row>
    <row r="749" ht="14.25" customHeight="1">
      <c r="A749" s="3"/>
      <c r="C749" s="3"/>
    </row>
    <row r="750" ht="14.25" customHeight="1">
      <c r="A750" s="3"/>
      <c r="C750" s="3"/>
    </row>
    <row r="751" ht="14.25" customHeight="1">
      <c r="A751" s="3"/>
      <c r="C751" s="3"/>
    </row>
    <row r="752" ht="14.25" customHeight="1">
      <c r="A752" s="3"/>
      <c r="C752" s="3"/>
    </row>
    <row r="753" ht="14.25" customHeight="1">
      <c r="A753" s="3"/>
      <c r="C753" s="3"/>
    </row>
    <row r="754" ht="14.25" customHeight="1">
      <c r="A754" s="3"/>
      <c r="C754" s="3"/>
    </row>
    <row r="755" ht="14.25" customHeight="1">
      <c r="A755" s="3"/>
      <c r="C755" s="3"/>
    </row>
    <row r="756" ht="14.25" customHeight="1">
      <c r="A756" s="3"/>
      <c r="C756" s="3"/>
    </row>
    <row r="757" ht="14.25" customHeight="1">
      <c r="A757" s="3"/>
      <c r="C757" s="3"/>
    </row>
    <row r="758" ht="14.25" customHeight="1">
      <c r="A758" s="3"/>
      <c r="C758" s="3"/>
    </row>
    <row r="759" ht="14.25" customHeight="1">
      <c r="A759" s="3"/>
      <c r="C759" s="3"/>
    </row>
    <row r="760" ht="14.25" customHeight="1">
      <c r="A760" s="3"/>
      <c r="C760" s="3"/>
    </row>
    <row r="761" ht="14.25" customHeight="1">
      <c r="A761" s="3"/>
      <c r="C761" s="3"/>
    </row>
    <row r="762" ht="14.25" customHeight="1">
      <c r="A762" s="3"/>
      <c r="C762" s="3"/>
    </row>
    <row r="763" ht="14.25" customHeight="1">
      <c r="A763" s="3"/>
      <c r="C763" s="3"/>
    </row>
    <row r="764" ht="14.25" customHeight="1">
      <c r="A764" s="3"/>
      <c r="C764" s="3"/>
    </row>
    <row r="765" ht="14.25" customHeight="1">
      <c r="A765" s="3"/>
      <c r="C765" s="3"/>
    </row>
    <row r="766" ht="14.25" customHeight="1">
      <c r="A766" s="3"/>
      <c r="C766" s="3"/>
    </row>
    <row r="767" ht="14.25" customHeight="1">
      <c r="A767" s="3"/>
      <c r="C767" s="3"/>
    </row>
    <row r="768" ht="14.25" customHeight="1">
      <c r="A768" s="3"/>
      <c r="C768" s="3"/>
    </row>
    <row r="769" ht="14.25" customHeight="1">
      <c r="A769" s="3"/>
      <c r="C769" s="3"/>
    </row>
    <row r="770" ht="14.25" customHeight="1">
      <c r="A770" s="3"/>
      <c r="C770" s="3"/>
    </row>
    <row r="771" ht="14.25" customHeight="1">
      <c r="A771" s="3"/>
      <c r="C771" s="3"/>
    </row>
    <row r="772" ht="14.25" customHeight="1">
      <c r="A772" s="3"/>
      <c r="C772" s="3"/>
    </row>
    <row r="773" ht="14.25" customHeight="1">
      <c r="A773" s="3"/>
      <c r="C773" s="3"/>
    </row>
    <row r="774" ht="14.25" customHeight="1">
      <c r="A774" s="3"/>
      <c r="C774" s="3"/>
    </row>
    <row r="775" ht="14.25" customHeight="1">
      <c r="A775" s="3"/>
      <c r="C775" s="3"/>
    </row>
    <row r="776" ht="14.25" customHeight="1">
      <c r="A776" s="3"/>
      <c r="C776" s="3"/>
    </row>
    <row r="777" ht="14.25" customHeight="1">
      <c r="A777" s="3"/>
      <c r="C777" s="3"/>
    </row>
    <row r="778" ht="14.25" customHeight="1">
      <c r="A778" s="3"/>
      <c r="C778" s="3"/>
    </row>
    <row r="779" ht="14.25" customHeight="1">
      <c r="A779" s="3"/>
      <c r="C779" s="3"/>
    </row>
    <row r="780" ht="14.25" customHeight="1">
      <c r="A780" s="3"/>
      <c r="C780" s="3"/>
    </row>
    <row r="781" ht="14.25" customHeight="1">
      <c r="A781" s="3"/>
      <c r="C781" s="3"/>
    </row>
    <row r="782" ht="14.25" customHeight="1">
      <c r="A782" s="3"/>
      <c r="C782" s="3"/>
    </row>
    <row r="783" ht="14.25" customHeight="1">
      <c r="A783" s="3"/>
      <c r="C783" s="3"/>
    </row>
    <row r="784" ht="14.25" customHeight="1">
      <c r="A784" s="3"/>
      <c r="C784" s="3"/>
    </row>
    <row r="785" ht="14.25" customHeight="1">
      <c r="A785" s="3"/>
      <c r="C785" s="3"/>
    </row>
    <row r="786" ht="14.25" customHeight="1">
      <c r="A786" s="3"/>
      <c r="C786" s="3"/>
    </row>
    <row r="787" ht="14.25" customHeight="1">
      <c r="A787" s="3"/>
      <c r="C787" s="3"/>
    </row>
    <row r="788" ht="14.25" customHeight="1">
      <c r="A788" s="3"/>
      <c r="C788" s="3"/>
    </row>
    <row r="789" ht="14.25" customHeight="1">
      <c r="A789" s="3"/>
      <c r="C789" s="3"/>
    </row>
    <row r="790" ht="14.25" customHeight="1">
      <c r="A790" s="3"/>
      <c r="C790" s="3"/>
    </row>
    <row r="791" ht="14.25" customHeight="1">
      <c r="A791" s="3"/>
      <c r="C791" s="3"/>
    </row>
    <row r="792" ht="14.25" customHeight="1">
      <c r="A792" s="3"/>
      <c r="C792" s="3"/>
    </row>
    <row r="793" ht="14.25" customHeight="1">
      <c r="A793" s="3"/>
      <c r="C793" s="3"/>
    </row>
    <row r="794" ht="14.25" customHeight="1">
      <c r="A794" s="3"/>
      <c r="C794" s="3"/>
    </row>
    <row r="795" ht="14.25" customHeight="1">
      <c r="A795" s="3"/>
      <c r="C795" s="3"/>
    </row>
    <row r="796" ht="14.25" customHeight="1">
      <c r="A796" s="3"/>
      <c r="C796" s="3"/>
    </row>
    <row r="797" ht="14.25" customHeight="1">
      <c r="A797" s="3"/>
      <c r="C797" s="3"/>
    </row>
    <row r="798" ht="14.25" customHeight="1">
      <c r="A798" s="3"/>
      <c r="C798" s="3"/>
    </row>
    <row r="799" ht="14.25" customHeight="1">
      <c r="A799" s="3"/>
      <c r="C799" s="3"/>
    </row>
    <row r="800" ht="14.25" customHeight="1">
      <c r="A800" s="3"/>
      <c r="C800" s="3"/>
    </row>
    <row r="801" ht="14.25" customHeight="1">
      <c r="A801" s="3"/>
      <c r="C801" s="3"/>
    </row>
    <row r="802" ht="14.25" customHeight="1">
      <c r="A802" s="3"/>
      <c r="C802" s="3"/>
    </row>
    <row r="803" ht="14.25" customHeight="1">
      <c r="A803" s="3"/>
      <c r="C803" s="3"/>
    </row>
    <row r="804" ht="14.25" customHeight="1">
      <c r="A804" s="3"/>
      <c r="C804" s="3"/>
    </row>
    <row r="805" ht="14.25" customHeight="1">
      <c r="A805" s="3"/>
      <c r="C805" s="3"/>
    </row>
    <row r="806" ht="14.25" customHeight="1">
      <c r="A806" s="3"/>
      <c r="C806" s="3"/>
    </row>
    <row r="807" ht="14.25" customHeight="1">
      <c r="A807" s="3"/>
      <c r="C807" s="3"/>
    </row>
    <row r="808" ht="14.25" customHeight="1">
      <c r="A808" s="3"/>
      <c r="C808" s="3"/>
    </row>
    <row r="809" ht="14.25" customHeight="1">
      <c r="A809" s="3"/>
      <c r="C809" s="3"/>
    </row>
    <row r="810" ht="14.25" customHeight="1">
      <c r="A810" s="3"/>
      <c r="C810" s="3"/>
    </row>
    <row r="811" ht="14.25" customHeight="1">
      <c r="A811" s="3"/>
      <c r="C811" s="3"/>
    </row>
    <row r="812" ht="14.25" customHeight="1">
      <c r="A812" s="3"/>
      <c r="C812" s="3"/>
    </row>
    <row r="813" ht="14.25" customHeight="1">
      <c r="A813" s="3"/>
      <c r="C813" s="3"/>
    </row>
    <row r="814" ht="14.25" customHeight="1">
      <c r="A814" s="3"/>
      <c r="C814" s="3"/>
    </row>
    <row r="815" ht="14.25" customHeight="1">
      <c r="A815" s="3"/>
      <c r="C815" s="3"/>
    </row>
    <row r="816" ht="14.25" customHeight="1">
      <c r="A816" s="3"/>
      <c r="C816" s="3"/>
    </row>
    <row r="817" ht="14.25" customHeight="1">
      <c r="A817" s="3"/>
      <c r="C817" s="3"/>
    </row>
    <row r="818" ht="14.25" customHeight="1">
      <c r="A818" s="3"/>
      <c r="C818" s="3"/>
    </row>
    <row r="819" ht="14.25" customHeight="1">
      <c r="A819" s="3"/>
      <c r="C819" s="3"/>
    </row>
    <row r="820" ht="14.25" customHeight="1">
      <c r="A820" s="3"/>
      <c r="C820" s="3"/>
    </row>
    <row r="821" ht="14.25" customHeight="1">
      <c r="A821" s="3"/>
      <c r="C821" s="3"/>
    </row>
    <row r="822" ht="14.25" customHeight="1">
      <c r="A822" s="3"/>
      <c r="C822" s="3"/>
    </row>
    <row r="823" ht="14.25" customHeight="1">
      <c r="A823" s="3"/>
      <c r="C823" s="3"/>
    </row>
    <row r="824" ht="14.25" customHeight="1">
      <c r="A824" s="3"/>
      <c r="C824" s="3"/>
    </row>
    <row r="825" ht="14.25" customHeight="1">
      <c r="A825" s="3"/>
      <c r="C825" s="3"/>
    </row>
    <row r="826" ht="14.25" customHeight="1">
      <c r="A826" s="3"/>
      <c r="C826" s="3"/>
    </row>
    <row r="827" ht="14.25" customHeight="1">
      <c r="A827" s="3"/>
      <c r="C827" s="3"/>
    </row>
    <row r="828" ht="14.25" customHeight="1">
      <c r="A828" s="3"/>
      <c r="C828" s="3"/>
    </row>
    <row r="829" ht="14.25" customHeight="1">
      <c r="A829" s="3"/>
      <c r="C829" s="3"/>
    </row>
    <row r="830" ht="14.25" customHeight="1">
      <c r="A830" s="3"/>
      <c r="C830" s="3"/>
    </row>
    <row r="831" ht="14.25" customHeight="1">
      <c r="A831" s="3"/>
      <c r="C831" s="3"/>
    </row>
    <row r="832" ht="14.25" customHeight="1">
      <c r="A832" s="3"/>
      <c r="C832" s="3"/>
    </row>
    <row r="833" ht="14.25" customHeight="1">
      <c r="A833" s="3"/>
      <c r="C833" s="3"/>
    </row>
    <row r="834" ht="14.25" customHeight="1">
      <c r="A834" s="3"/>
      <c r="C834" s="3"/>
    </row>
    <row r="835" ht="14.25" customHeight="1">
      <c r="A835" s="3"/>
      <c r="C835" s="3"/>
    </row>
    <row r="836" ht="14.25" customHeight="1">
      <c r="A836" s="3"/>
      <c r="C836" s="3"/>
    </row>
    <row r="837" ht="14.25" customHeight="1">
      <c r="A837" s="3"/>
      <c r="C837" s="3"/>
    </row>
    <row r="838" ht="14.25" customHeight="1">
      <c r="A838" s="3"/>
      <c r="C838" s="3"/>
    </row>
    <row r="839" ht="14.25" customHeight="1">
      <c r="A839" s="3"/>
      <c r="C839" s="3"/>
    </row>
    <row r="840" ht="14.25" customHeight="1">
      <c r="A840" s="3"/>
      <c r="C840" s="3"/>
    </row>
    <row r="841" ht="14.25" customHeight="1">
      <c r="A841" s="3"/>
      <c r="C841" s="3"/>
    </row>
    <row r="842" ht="14.25" customHeight="1">
      <c r="A842" s="3"/>
      <c r="C842" s="3"/>
    </row>
    <row r="843" ht="14.25" customHeight="1">
      <c r="A843" s="3"/>
      <c r="C843" s="3"/>
    </row>
    <row r="844" ht="14.25" customHeight="1">
      <c r="A844" s="3"/>
      <c r="C844" s="3"/>
    </row>
    <row r="845" ht="14.25" customHeight="1">
      <c r="A845" s="3"/>
      <c r="C845" s="3"/>
    </row>
    <row r="846" ht="14.25" customHeight="1">
      <c r="A846" s="3"/>
      <c r="C846" s="3"/>
    </row>
    <row r="847" ht="14.25" customHeight="1">
      <c r="A847" s="3"/>
      <c r="C847" s="3"/>
    </row>
    <row r="848" ht="14.25" customHeight="1">
      <c r="A848" s="3"/>
      <c r="C848" s="3"/>
    </row>
    <row r="849" ht="14.25" customHeight="1">
      <c r="A849" s="3"/>
      <c r="C849" s="3"/>
    </row>
    <row r="850" ht="14.25" customHeight="1">
      <c r="A850" s="3"/>
      <c r="C850" s="3"/>
    </row>
    <row r="851" ht="14.25" customHeight="1">
      <c r="A851" s="3"/>
      <c r="C851" s="3"/>
    </row>
    <row r="852" ht="14.25" customHeight="1">
      <c r="A852" s="3"/>
      <c r="C852" s="3"/>
    </row>
    <row r="853" ht="14.25" customHeight="1">
      <c r="A853" s="3"/>
      <c r="C853" s="3"/>
    </row>
    <row r="854" ht="14.25" customHeight="1">
      <c r="A854" s="3"/>
      <c r="C854" s="3"/>
    </row>
    <row r="855" ht="14.25" customHeight="1">
      <c r="A855" s="3"/>
      <c r="C855" s="3"/>
    </row>
    <row r="856" ht="14.25" customHeight="1">
      <c r="A856" s="3"/>
      <c r="C856" s="3"/>
    </row>
    <row r="857" ht="14.25" customHeight="1">
      <c r="A857" s="3"/>
      <c r="C857" s="3"/>
    </row>
    <row r="858" ht="14.25" customHeight="1">
      <c r="A858" s="3"/>
      <c r="C858" s="3"/>
    </row>
    <row r="859" ht="14.25" customHeight="1">
      <c r="A859" s="3"/>
      <c r="C859" s="3"/>
    </row>
    <row r="860" ht="14.25" customHeight="1">
      <c r="A860" s="3"/>
      <c r="C860" s="3"/>
    </row>
    <row r="861" ht="14.25" customHeight="1">
      <c r="A861" s="3"/>
      <c r="C861" s="3"/>
    </row>
    <row r="862" ht="14.25" customHeight="1">
      <c r="A862" s="3"/>
      <c r="C862" s="3"/>
    </row>
    <row r="863" ht="14.25" customHeight="1">
      <c r="A863" s="3"/>
      <c r="C863" s="3"/>
    </row>
    <row r="864" ht="14.25" customHeight="1">
      <c r="A864" s="3"/>
      <c r="C864" s="3"/>
    </row>
    <row r="865" ht="14.25" customHeight="1">
      <c r="A865" s="3"/>
      <c r="C865" s="3"/>
    </row>
    <row r="866" ht="14.25" customHeight="1">
      <c r="A866" s="3"/>
      <c r="C866" s="3"/>
    </row>
    <row r="867" ht="14.25" customHeight="1">
      <c r="A867" s="3"/>
      <c r="C867" s="3"/>
    </row>
    <row r="868" ht="14.25" customHeight="1">
      <c r="A868" s="3"/>
      <c r="C868" s="3"/>
    </row>
    <row r="869" ht="14.25" customHeight="1">
      <c r="A869" s="3"/>
      <c r="C869" s="3"/>
    </row>
    <row r="870" ht="14.25" customHeight="1">
      <c r="A870" s="3"/>
      <c r="C870" s="3"/>
    </row>
    <row r="871" ht="14.25" customHeight="1">
      <c r="A871" s="3"/>
      <c r="C871" s="3"/>
    </row>
    <row r="872" ht="14.25" customHeight="1">
      <c r="A872" s="3"/>
      <c r="C872" s="3"/>
    </row>
    <row r="873" ht="14.25" customHeight="1">
      <c r="A873" s="3"/>
      <c r="C873" s="3"/>
    </row>
    <row r="874" ht="14.25" customHeight="1">
      <c r="A874" s="3"/>
      <c r="C874" s="3"/>
    </row>
    <row r="875" ht="14.25" customHeight="1">
      <c r="A875" s="3"/>
      <c r="C875" s="3"/>
    </row>
    <row r="876" ht="14.25" customHeight="1">
      <c r="A876" s="3"/>
      <c r="C876" s="3"/>
    </row>
    <row r="877" ht="14.25" customHeight="1">
      <c r="A877" s="3"/>
      <c r="C877" s="3"/>
    </row>
    <row r="878" ht="14.25" customHeight="1">
      <c r="A878" s="3"/>
      <c r="C878" s="3"/>
    </row>
    <row r="879" ht="14.25" customHeight="1">
      <c r="A879" s="3"/>
      <c r="C879" s="3"/>
    </row>
    <row r="880" ht="14.25" customHeight="1">
      <c r="A880" s="3"/>
      <c r="C880" s="3"/>
    </row>
    <row r="881" ht="14.25" customHeight="1">
      <c r="A881" s="3"/>
      <c r="C881" s="3"/>
    </row>
    <row r="882" ht="14.25" customHeight="1">
      <c r="A882" s="3"/>
      <c r="C882" s="3"/>
    </row>
    <row r="883" ht="14.25" customHeight="1">
      <c r="A883" s="3"/>
      <c r="C883" s="3"/>
    </row>
    <row r="884" ht="14.25" customHeight="1">
      <c r="A884" s="3"/>
      <c r="C884" s="3"/>
    </row>
    <row r="885" ht="14.25" customHeight="1">
      <c r="A885" s="3"/>
      <c r="C885" s="3"/>
    </row>
    <row r="886" ht="14.25" customHeight="1">
      <c r="A886" s="3"/>
      <c r="C886" s="3"/>
    </row>
    <row r="887" ht="14.25" customHeight="1">
      <c r="A887" s="3"/>
      <c r="C887" s="3"/>
    </row>
    <row r="888" ht="14.25" customHeight="1">
      <c r="A888" s="3"/>
      <c r="C888" s="3"/>
    </row>
    <row r="889" ht="14.25" customHeight="1">
      <c r="A889" s="3"/>
      <c r="C889" s="3"/>
    </row>
    <row r="890" ht="14.25" customHeight="1">
      <c r="A890" s="3"/>
      <c r="C890" s="3"/>
    </row>
    <row r="891" ht="14.25" customHeight="1">
      <c r="A891" s="3"/>
      <c r="C891" s="3"/>
    </row>
    <row r="892" ht="14.25" customHeight="1">
      <c r="A892" s="3"/>
      <c r="C892" s="3"/>
    </row>
    <row r="893" ht="14.25" customHeight="1">
      <c r="A893" s="3"/>
      <c r="C893" s="3"/>
    </row>
    <row r="894" ht="14.25" customHeight="1">
      <c r="A894" s="3"/>
      <c r="C894" s="3"/>
    </row>
    <row r="895" ht="14.25" customHeight="1">
      <c r="A895" s="3"/>
      <c r="C895" s="3"/>
    </row>
    <row r="896" ht="14.25" customHeight="1">
      <c r="A896" s="3"/>
      <c r="C896" s="3"/>
    </row>
    <row r="897" ht="14.25" customHeight="1">
      <c r="A897" s="3"/>
      <c r="C897" s="3"/>
    </row>
    <row r="898" ht="14.25" customHeight="1">
      <c r="A898" s="3"/>
      <c r="C898" s="3"/>
    </row>
    <row r="899" ht="14.25" customHeight="1">
      <c r="A899" s="3"/>
      <c r="C899" s="3"/>
    </row>
    <row r="900" ht="14.25" customHeight="1">
      <c r="A900" s="3"/>
      <c r="C900" s="3"/>
    </row>
    <row r="901" ht="14.25" customHeight="1">
      <c r="A901" s="3"/>
      <c r="C901" s="3"/>
    </row>
    <row r="902" ht="14.25" customHeight="1">
      <c r="A902" s="3"/>
      <c r="C902" s="3"/>
    </row>
    <row r="903" ht="14.25" customHeight="1">
      <c r="A903" s="3"/>
      <c r="C903" s="3"/>
    </row>
    <row r="904" ht="14.25" customHeight="1">
      <c r="A904" s="3"/>
      <c r="C904" s="3"/>
    </row>
    <row r="905" ht="14.25" customHeight="1">
      <c r="A905" s="3"/>
      <c r="C905" s="3"/>
    </row>
    <row r="906" ht="14.25" customHeight="1">
      <c r="A906" s="3"/>
      <c r="C906" s="3"/>
    </row>
    <row r="907" ht="14.25" customHeight="1">
      <c r="A907" s="3"/>
      <c r="C907" s="3"/>
    </row>
    <row r="908" ht="14.25" customHeight="1">
      <c r="A908" s="3"/>
      <c r="C908" s="3"/>
    </row>
    <row r="909" ht="14.25" customHeight="1">
      <c r="A909" s="3"/>
      <c r="C909" s="3"/>
    </row>
    <row r="910" ht="14.25" customHeight="1">
      <c r="A910" s="3"/>
      <c r="C910" s="3"/>
    </row>
    <row r="911" ht="14.25" customHeight="1">
      <c r="A911" s="3"/>
      <c r="C911" s="3"/>
    </row>
    <row r="912" ht="14.25" customHeight="1">
      <c r="A912" s="3"/>
      <c r="C912" s="3"/>
    </row>
    <row r="913" ht="14.25" customHeight="1">
      <c r="A913" s="3"/>
      <c r="C913" s="3"/>
    </row>
    <row r="914" ht="14.25" customHeight="1">
      <c r="A914" s="3"/>
      <c r="C914" s="3"/>
    </row>
    <row r="915" ht="14.25" customHeight="1">
      <c r="A915" s="3"/>
      <c r="C915" s="3"/>
    </row>
    <row r="916" ht="14.25" customHeight="1">
      <c r="A916" s="3"/>
      <c r="C916" s="3"/>
    </row>
    <row r="917" ht="14.25" customHeight="1">
      <c r="A917" s="3"/>
      <c r="C917" s="3"/>
    </row>
    <row r="918" ht="14.25" customHeight="1">
      <c r="A918" s="3"/>
      <c r="C918" s="3"/>
    </row>
    <row r="919" ht="14.25" customHeight="1">
      <c r="A919" s="3"/>
      <c r="C919" s="3"/>
    </row>
    <row r="920" ht="14.25" customHeight="1">
      <c r="A920" s="3"/>
      <c r="C920" s="3"/>
    </row>
    <row r="921" ht="14.25" customHeight="1">
      <c r="A921" s="3"/>
      <c r="C921" s="3"/>
    </row>
    <row r="922" ht="14.25" customHeight="1">
      <c r="A922" s="3"/>
      <c r="C922" s="3"/>
    </row>
    <row r="923" ht="14.25" customHeight="1">
      <c r="A923" s="3"/>
      <c r="C923" s="3"/>
    </row>
    <row r="924" ht="14.25" customHeight="1">
      <c r="A924" s="3"/>
      <c r="C924" s="3"/>
    </row>
    <row r="925" ht="14.25" customHeight="1">
      <c r="A925" s="3"/>
      <c r="C925" s="3"/>
    </row>
    <row r="926" ht="14.25" customHeight="1">
      <c r="A926" s="3"/>
      <c r="C926" s="3"/>
    </row>
    <row r="927" ht="14.25" customHeight="1">
      <c r="A927" s="3"/>
      <c r="C927" s="3"/>
    </row>
    <row r="928" ht="14.25" customHeight="1">
      <c r="A928" s="3"/>
      <c r="C928" s="3"/>
    </row>
    <row r="929" ht="14.25" customHeight="1">
      <c r="A929" s="3"/>
      <c r="C929" s="3"/>
    </row>
    <row r="930" ht="14.25" customHeight="1">
      <c r="A930" s="3"/>
      <c r="C930" s="3"/>
    </row>
    <row r="931" ht="14.25" customHeight="1">
      <c r="A931" s="3"/>
      <c r="C931" s="3"/>
    </row>
    <row r="932" ht="14.25" customHeight="1">
      <c r="A932" s="3"/>
      <c r="C932" s="3"/>
    </row>
    <row r="933" ht="14.25" customHeight="1">
      <c r="A933" s="3"/>
      <c r="C933" s="3"/>
    </row>
    <row r="934" ht="14.25" customHeight="1">
      <c r="A934" s="3"/>
      <c r="C934" s="3"/>
    </row>
    <row r="935" ht="14.25" customHeight="1">
      <c r="A935" s="3"/>
      <c r="C935" s="3"/>
    </row>
    <row r="936" ht="14.25" customHeight="1">
      <c r="A936" s="3"/>
      <c r="C936" s="3"/>
    </row>
    <row r="937" ht="14.25" customHeight="1">
      <c r="A937" s="3"/>
      <c r="C937" s="3"/>
    </row>
    <row r="938" ht="14.25" customHeight="1">
      <c r="A938" s="3"/>
      <c r="C938" s="3"/>
    </row>
    <row r="939" ht="14.25" customHeight="1">
      <c r="A939" s="3"/>
      <c r="C939" s="3"/>
    </row>
    <row r="940" ht="14.25" customHeight="1">
      <c r="A940" s="3"/>
      <c r="C940" s="3"/>
    </row>
    <row r="941" ht="14.25" customHeight="1">
      <c r="A941" s="3"/>
      <c r="C941" s="3"/>
    </row>
    <row r="942" ht="14.25" customHeight="1">
      <c r="A942" s="3"/>
      <c r="C942" s="3"/>
    </row>
    <row r="943" ht="14.25" customHeight="1">
      <c r="A943" s="3"/>
      <c r="C943" s="3"/>
    </row>
    <row r="944" ht="14.25" customHeight="1">
      <c r="A944" s="3"/>
      <c r="C944" s="3"/>
    </row>
    <row r="945" ht="14.25" customHeight="1">
      <c r="A945" s="3"/>
      <c r="C945" s="3"/>
    </row>
    <row r="946" ht="14.25" customHeight="1">
      <c r="A946" s="3"/>
      <c r="C946" s="3"/>
    </row>
    <row r="947" ht="14.25" customHeight="1">
      <c r="A947" s="3"/>
      <c r="C947" s="3"/>
    </row>
    <row r="948" ht="14.25" customHeight="1">
      <c r="A948" s="3"/>
      <c r="C948" s="3"/>
    </row>
    <row r="949" ht="14.25" customHeight="1">
      <c r="A949" s="3"/>
      <c r="C949" s="3"/>
    </row>
    <row r="950" ht="14.25" customHeight="1">
      <c r="A950" s="3"/>
      <c r="C950" s="3"/>
    </row>
    <row r="951" ht="14.25" customHeight="1">
      <c r="A951" s="3"/>
      <c r="C951" s="3"/>
    </row>
    <row r="952" ht="14.25" customHeight="1">
      <c r="A952" s="3"/>
      <c r="C952" s="3"/>
    </row>
    <row r="953" ht="14.25" customHeight="1">
      <c r="A953" s="3"/>
      <c r="C953" s="3"/>
    </row>
    <row r="954" ht="14.25" customHeight="1">
      <c r="A954" s="3"/>
      <c r="C954" s="3"/>
    </row>
    <row r="955" ht="14.25" customHeight="1">
      <c r="A955" s="3"/>
      <c r="C955" s="3"/>
    </row>
    <row r="956" ht="14.25" customHeight="1">
      <c r="A956" s="3"/>
      <c r="C956" s="3"/>
    </row>
    <row r="957" ht="14.25" customHeight="1">
      <c r="A957" s="3"/>
      <c r="C957" s="3"/>
    </row>
    <row r="958" ht="14.25" customHeight="1">
      <c r="A958" s="3"/>
      <c r="C958" s="3"/>
    </row>
    <row r="959" ht="14.25" customHeight="1">
      <c r="A959" s="3"/>
      <c r="C959" s="3"/>
    </row>
    <row r="960" ht="14.25" customHeight="1">
      <c r="A960" s="3"/>
      <c r="C960" s="3"/>
    </row>
    <row r="961" ht="14.25" customHeight="1">
      <c r="A961" s="3"/>
      <c r="C961" s="3"/>
    </row>
    <row r="962" ht="14.25" customHeight="1">
      <c r="A962" s="3"/>
      <c r="C962" s="3"/>
    </row>
    <row r="963" ht="14.25" customHeight="1">
      <c r="A963" s="3"/>
      <c r="C963" s="3"/>
    </row>
    <row r="964" ht="14.25" customHeight="1">
      <c r="A964" s="3"/>
      <c r="C964" s="3"/>
    </row>
    <row r="965" ht="14.25" customHeight="1">
      <c r="A965" s="3"/>
      <c r="C965" s="3"/>
    </row>
    <row r="966" ht="14.25" customHeight="1">
      <c r="A966" s="3"/>
      <c r="C966" s="3"/>
    </row>
    <row r="967" ht="14.25" customHeight="1">
      <c r="A967" s="3"/>
      <c r="C967" s="3"/>
    </row>
    <row r="968" ht="14.25" customHeight="1">
      <c r="A968" s="3"/>
      <c r="C968" s="3"/>
    </row>
    <row r="969" ht="14.25" customHeight="1">
      <c r="A969" s="3"/>
      <c r="C969" s="3"/>
    </row>
    <row r="970" ht="14.25" customHeight="1">
      <c r="A970" s="3"/>
      <c r="C970" s="3"/>
    </row>
    <row r="971" ht="14.25" customHeight="1">
      <c r="A971" s="3"/>
      <c r="C971" s="3"/>
    </row>
    <row r="972" ht="14.25" customHeight="1">
      <c r="A972" s="3"/>
      <c r="C972" s="3"/>
    </row>
    <row r="973" ht="14.25" customHeight="1">
      <c r="A973" s="3"/>
      <c r="C973" s="3"/>
    </row>
    <row r="974" ht="14.25" customHeight="1">
      <c r="A974" s="3"/>
      <c r="C974" s="3"/>
    </row>
    <row r="975" ht="14.25" customHeight="1">
      <c r="A975" s="3"/>
      <c r="C975" s="3"/>
    </row>
    <row r="976" ht="14.25" customHeight="1">
      <c r="A976" s="3"/>
      <c r="C976" s="3"/>
    </row>
    <row r="977" ht="14.25" customHeight="1">
      <c r="A977" s="3"/>
      <c r="C977" s="3"/>
    </row>
    <row r="978" ht="14.25" customHeight="1">
      <c r="A978" s="3"/>
      <c r="C978" s="3"/>
    </row>
    <row r="979" ht="14.25" customHeight="1">
      <c r="A979" s="3"/>
      <c r="C979" s="3"/>
    </row>
    <row r="980" ht="14.25" customHeight="1">
      <c r="A980" s="3"/>
      <c r="C980" s="3"/>
    </row>
    <row r="981" ht="14.25" customHeight="1">
      <c r="A981" s="3"/>
      <c r="C981" s="3"/>
    </row>
    <row r="982" ht="14.25" customHeight="1">
      <c r="A982" s="3"/>
      <c r="C982" s="3"/>
    </row>
    <row r="983" ht="14.25" customHeight="1">
      <c r="A983" s="3"/>
      <c r="C983" s="3"/>
    </row>
    <row r="984" ht="14.25" customHeight="1">
      <c r="A984" s="3"/>
      <c r="C984" s="3"/>
    </row>
    <row r="985" ht="14.25" customHeight="1">
      <c r="A985" s="3"/>
      <c r="C985" s="3"/>
    </row>
    <row r="986" ht="14.25" customHeight="1">
      <c r="A986" s="3"/>
      <c r="C986" s="3"/>
    </row>
    <row r="987" ht="14.25" customHeight="1">
      <c r="A987" s="3"/>
      <c r="C987" s="3"/>
    </row>
    <row r="988" ht="14.25" customHeight="1">
      <c r="A988" s="3"/>
      <c r="C988" s="3"/>
    </row>
    <row r="989" ht="14.25" customHeight="1">
      <c r="A989" s="3"/>
      <c r="C989" s="3"/>
    </row>
    <row r="990" ht="14.25" customHeight="1">
      <c r="A990" s="3"/>
      <c r="C990" s="3"/>
    </row>
    <row r="991" ht="14.25" customHeight="1">
      <c r="A991" s="3"/>
      <c r="C991" s="3"/>
    </row>
    <row r="992" ht="14.25" customHeight="1">
      <c r="A992" s="3"/>
      <c r="C992" s="3"/>
    </row>
    <row r="993" ht="14.25" customHeight="1">
      <c r="A993" s="3"/>
      <c r="C993" s="3"/>
    </row>
    <row r="994" ht="14.25" customHeight="1">
      <c r="A994" s="3"/>
      <c r="C994" s="3"/>
    </row>
    <row r="995" ht="14.25" customHeight="1">
      <c r="A995" s="3"/>
      <c r="C995" s="3"/>
    </row>
    <row r="996" ht="14.25" customHeight="1">
      <c r="A996" s="3"/>
      <c r="C996" s="3"/>
    </row>
    <row r="997" ht="14.25" customHeight="1">
      <c r="A997" s="3"/>
      <c r="C997" s="3"/>
    </row>
    <row r="998" ht="14.25" customHeight="1">
      <c r="A998" s="3"/>
      <c r="C998" s="3"/>
    </row>
    <row r="999" ht="14.25" customHeight="1">
      <c r="A999" s="3"/>
      <c r="C999" s="3"/>
    </row>
    <row r="1000" ht="14.25" customHeight="1">
      <c r="A1000" s="3"/>
      <c r="C1000" s="3"/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8" width="8.88"/>
    <col customWidth="1" min="19" max="26" width="8.63"/>
  </cols>
  <sheetData>
    <row r="1" ht="14.25" customHeight="1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4.25" customHeight="1">
      <c r="A2" s="7" t="s">
        <v>33</v>
      </c>
      <c r="B2" s="7" t="s">
        <v>12</v>
      </c>
      <c r="C2" s="7" t="s">
        <v>34</v>
      </c>
      <c r="D2" s="7" t="s">
        <v>41</v>
      </c>
      <c r="E2" s="7" t="s">
        <v>25</v>
      </c>
      <c r="F2" s="7" t="s">
        <v>17</v>
      </c>
      <c r="G2" s="7" t="s">
        <v>121</v>
      </c>
      <c r="H2" s="7" t="s">
        <v>37</v>
      </c>
      <c r="I2" s="7" t="s">
        <v>36</v>
      </c>
      <c r="J2" s="7" t="s">
        <v>15</v>
      </c>
      <c r="K2" s="7" t="s">
        <v>38</v>
      </c>
      <c r="L2" s="7" t="s">
        <v>40</v>
      </c>
      <c r="M2" s="7" t="s">
        <v>20</v>
      </c>
      <c r="N2" s="7" t="s">
        <v>27</v>
      </c>
      <c r="O2" s="7" t="s">
        <v>24</v>
      </c>
      <c r="P2" s="7" t="s">
        <v>23</v>
      </c>
      <c r="Q2" s="7" t="s">
        <v>35</v>
      </c>
      <c r="R2" s="7" t="s">
        <v>26</v>
      </c>
      <c r="S2" s="7"/>
      <c r="T2" s="7"/>
      <c r="U2" s="7"/>
      <c r="V2" s="7"/>
      <c r="W2" s="7"/>
      <c r="X2" s="7"/>
      <c r="Y2" s="7"/>
      <c r="Z2" s="7"/>
    </row>
    <row r="3" ht="14.25" customHeight="1">
      <c r="A3" s="7" t="s">
        <v>28</v>
      </c>
      <c r="B3" s="7" t="s">
        <v>12</v>
      </c>
      <c r="C3" s="7" t="s">
        <v>34</v>
      </c>
      <c r="D3" s="7" t="s">
        <v>41</v>
      </c>
      <c r="E3" s="7" t="s">
        <v>25</v>
      </c>
      <c r="F3" s="7" t="s">
        <v>17</v>
      </c>
      <c r="G3" s="7" t="s">
        <v>121</v>
      </c>
      <c r="H3" s="7" t="s">
        <v>37</v>
      </c>
      <c r="I3" s="7" t="s">
        <v>36</v>
      </c>
      <c r="J3" s="7" t="s">
        <v>15</v>
      </c>
      <c r="K3" s="7" t="s">
        <v>38</v>
      </c>
      <c r="L3" s="7" t="s">
        <v>40</v>
      </c>
      <c r="M3" s="7" t="s">
        <v>20</v>
      </c>
      <c r="N3" s="7" t="s">
        <v>27</v>
      </c>
      <c r="O3" s="7" t="s">
        <v>24</v>
      </c>
      <c r="P3" s="7" t="s">
        <v>23</v>
      </c>
      <c r="Q3" s="7" t="s">
        <v>35</v>
      </c>
      <c r="R3" s="7" t="s">
        <v>26</v>
      </c>
      <c r="S3" s="7"/>
      <c r="T3" s="7"/>
      <c r="U3" s="7"/>
      <c r="V3" s="7"/>
      <c r="W3" s="7"/>
      <c r="X3" s="7"/>
      <c r="Y3" s="7"/>
      <c r="Z3" s="7"/>
    </row>
    <row r="4" ht="14.25" customHeight="1">
      <c r="A4" s="7" t="s">
        <v>42</v>
      </c>
      <c r="B4" s="7" t="s">
        <v>12</v>
      </c>
      <c r="C4" s="7" t="s">
        <v>34</v>
      </c>
      <c r="D4" s="7" t="s">
        <v>41</v>
      </c>
      <c r="E4" s="7" t="s">
        <v>25</v>
      </c>
      <c r="F4" s="7" t="s">
        <v>17</v>
      </c>
      <c r="G4" s="7" t="s">
        <v>121</v>
      </c>
      <c r="H4" s="7" t="s">
        <v>37</v>
      </c>
      <c r="I4" s="7" t="s">
        <v>36</v>
      </c>
      <c r="J4" s="7" t="s">
        <v>15</v>
      </c>
      <c r="K4" s="7" t="s">
        <v>38</v>
      </c>
      <c r="L4" s="7" t="s">
        <v>40</v>
      </c>
      <c r="M4" s="7" t="s">
        <v>20</v>
      </c>
      <c r="N4" s="7" t="s">
        <v>27</v>
      </c>
      <c r="O4" s="7" t="s">
        <v>24</v>
      </c>
      <c r="P4" s="7" t="s">
        <v>23</v>
      </c>
      <c r="Q4" s="7" t="s">
        <v>35</v>
      </c>
      <c r="R4" s="7" t="s">
        <v>26</v>
      </c>
      <c r="S4" s="7"/>
      <c r="T4" s="7"/>
      <c r="U4" s="7"/>
      <c r="V4" s="7"/>
      <c r="W4" s="7"/>
      <c r="X4" s="7"/>
      <c r="Y4" s="7"/>
      <c r="Z4" s="7"/>
    </row>
    <row r="5" ht="14.25" customHeight="1">
      <c r="A5" s="7" t="s">
        <v>18</v>
      </c>
      <c r="B5" s="7" t="s">
        <v>12</v>
      </c>
      <c r="C5" s="7" t="s">
        <v>34</v>
      </c>
      <c r="D5" s="7" t="s">
        <v>41</v>
      </c>
      <c r="E5" s="7" t="s">
        <v>25</v>
      </c>
      <c r="F5" s="7" t="s">
        <v>17</v>
      </c>
      <c r="G5" s="7" t="s">
        <v>121</v>
      </c>
      <c r="H5" s="7" t="s">
        <v>37</v>
      </c>
      <c r="I5" s="7" t="s">
        <v>36</v>
      </c>
      <c r="J5" s="7" t="s">
        <v>15</v>
      </c>
      <c r="K5" s="7" t="s">
        <v>38</v>
      </c>
      <c r="L5" s="7" t="s">
        <v>40</v>
      </c>
      <c r="M5" s="7" t="s">
        <v>20</v>
      </c>
      <c r="N5" s="7" t="s">
        <v>27</v>
      </c>
      <c r="O5" s="7" t="s">
        <v>24</v>
      </c>
      <c r="P5" s="7" t="s">
        <v>23</v>
      </c>
      <c r="Q5" s="7" t="s">
        <v>35</v>
      </c>
      <c r="R5" s="7" t="s">
        <v>26</v>
      </c>
      <c r="S5" s="7"/>
      <c r="T5" s="7"/>
      <c r="U5" s="7"/>
      <c r="V5" s="7"/>
      <c r="W5" s="7"/>
      <c r="X5" s="7"/>
      <c r="Y5" s="7"/>
      <c r="Z5" s="7"/>
    </row>
    <row r="6" ht="14.25" customHeight="1">
      <c r="A6" s="7" t="s">
        <v>39</v>
      </c>
      <c r="B6" s="7" t="s">
        <v>12</v>
      </c>
      <c r="C6" s="7" t="s">
        <v>34</v>
      </c>
      <c r="D6" s="7" t="s">
        <v>41</v>
      </c>
      <c r="E6" s="7" t="s">
        <v>25</v>
      </c>
      <c r="F6" s="7" t="s">
        <v>17</v>
      </c>
      <c r="G6" s="7" t="s">
        <v>121</v>
      </c>
      <c r="H6" s="7" t="s">
        <v>37</v>
      </c>
      <c r="I6" s="7" t="s">
        <v>36</v>
      </c>
      <c r="J6" s="7" t="s">
        <v>15</v>
      </c>
      <c r="K6" s="7" t="s">
        <v>38</v>
      </c>
      <c r="L6" s="7" t="s">
        <v>40</v>
      </c>
      <c r="M6" s="7" t="s">
        <v>20</v>
      </c>
      <c r="N6" s="7" t="s">
        <v>27</v>
      </c>
      <c r="O6" s="7" t="s">
        <v>24</v>
      </c>
      <c r="P6" s="7" t="s">
        <v>23</v>
      </c>
      <c r="Q6" s="7" t="s">
        <v>35</v>
      </c>
      <c r="R6" s="7" t="s">
        <v>26</v>
      </c>
      <c r="S6" s="7"/>
      <c r="T6" s="7"/>
      <c r="U6" s="7"/>
      <c r="V6" s="7"/>
      <c r="W6" s="7"/>
      <c r="X6" s="7"/>
      <c r="Y6" s="7"/>
      <c r="Z6" s="7"/>
    </row>
    <row r="7" ht="14.25" customHeight="1">
      <c r="A7" s="7" t="s">
        <v>29</v>
      </c>
      <c r="B7" s="7" t="s">
        <v>12</v>
      </c>
      <c r="C7" s="7" t="s">
        <v>34</v>
      </c>
      <c r="D7" s="7" t="s">
        <v>41</v>
      </c>
      <c r="E7" s="7" t="s">
        <v>25</v>
      </c>
      <c r="F7" s="7" t="s">
        <v>17</v>
      </c>
      <c r="G7" s="7" t="s">
        <v>121</v>
      </c>
      <c r="H7" s="7" t="s">
        <v>37</v>
      </c>
      <c r="I7" s="7" t="s">
        <v>36</v>
      </c>
      <c r="J7" s="7" t="s">
        <v>15</v>
      </c>
      <c r="K7" s="7" t="s">
        <v>38</v>
      </c>
      <c r="L7" s="7" t="s">
        <v>40</v>
      </c>
      <c r="M7" s="7" t="s">
        <v>20</v>
      </c>
      <c r="N7" s="7" t="s">
        <v>27</v>
      </c>
      <c r="O7" s="7" t="s">
        <v>24</v>
      </c>
      <c r="P7" s="7" t="s">
        <v>23</v>
      </c>
      <c r="Q7" s="7" t="s">
        <v>35</v>
      </c>
      <c r="R7" s="7" t="s">
        <v>26</v>
      </c>
      <c r="S7" s="7"/>
      <c r="T7" s="7"/>
      <c r="U7" s="7"/>
      <c r="V7" s="7"/>
      <c r="W7" s="7"/>
      <c r="X7" s="7"/>
      <c r="Y7" s="7"/>
      <c r="Z7" s="7"/>
    </row>
    <row r="8" ht="14.25" customHeight="1">
      <c r="A8" s="7" t="s">
        <v>43</v>
      </c>
      <c r="B8" s="7" t="s">
        <v>12</v>
      </c>
      <c r="C8" s="7" t="s">
        <v>34</v>
      </c>
      <c r="D8" s="7" t="s">
        <v>41</v>
      </c>
      <c r="E8" s="7" t="s">
        <v>25</v>
      </c>
      <c r="F8" s="7" t="s">
        <v>17</v>
      </c>
      <c r="G8" s="7" t="s">
        <v>121</v>
      </c>
      <c r="H8" s="7" t="s">
        <v>37</v>
      </c>
      <c r="I8" s="7" t="s">
        <v>36</v>
      </c>
      <c r="J8" s="7" t="s">
        <v>15</v>
      </c>
      <c r="K8" s="7" t="s">
        <v>38</v>
      </c>
      <c r="L8" s="7" t="s">
        <v>40</v>
      </c>
      <c r="M8" s="7" t="s">
        <v>20</v>
      </c>
      <c r="N8" s="7" t="s">
        <v>27</v>
      </c>
      <c r="O8" s="7" t="s">
        <v>24</v>
      </c>
      <c r="P8" s="7" t="s">
        <v>23</v>
      </c>
      <c r="Q8" s="7" t="s">
        <v>35</v>
      </c>
      <c r="R8" s="7" t="s">
        <v>26</v>
      </c>
      <c r="S8" s="7"/>
      <c r="T8" s="7"/>
      <c r="U8" s="7"/>
      <c r="V8" s="7"/>
      <c r="W8" s="7"/>
      <c r="X8" s="7"/>
      <c r="Y8" s="7"/>
      <c r="Z8" s="7"/>
    </row>
    <row r="9" ht="14.2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4.2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4.25" customHeight="1">
      <c r="A11" s="7" t="s">
        <v>33</v>
      </c>
      <c r="B11" s="7" t="s">
        <v>12</v>
      </c>
      <c r="C11" s="7"/>
      <c r="D11" s="7"/>
      <c r="E11" s="7"/>
      <c r="F11" s="7"/>
      <c r="G11" s="7"/>
      <c r="H11" s="7" t="s">
        <v>15</v>
      </c>
      <c r="I11" s="7"/>
      <c r="J11" s="7" t="s">
        <v>24</v>
      </c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4.25" customHeight="1">
      <c r="A12" s="7" t="s">
        <v>28</v>
      </c>
      <c r="B12" s="7" t="s">
        <v>12</v>
      </c>
      <c r="C12" s="7"/>
      <c r="D12" s="7"/>
      <c r="E12" s="7"/>
      <c r="F12" s="7"/>
      <c r="G12" s="7"/>
      <c r="H12" s="7" t="s">
        <v>15</v>
      </c>
      <c r="I12" s="7"/>
      <c r="J12" s="7" t="s">
        <v>24</v>
      </c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4.25" customHeight="1">
      <c r="A13" s="7" t="s">
        <v>42</v>
      </c>
      <c r="B13" s="7" t="s">
        <v>12</v>
      </c>
      <c r="C13" s="7"/>
      <c r="D13" s="7"/>
      <c r="E13" s="7"/>
      <c r="F13" s="7"/>
      <c r="G13" s="7"/>
      <c r="H13" s="7" t="s">
        <v>15</v>
      </c>
      <c r="I13" s="7"/>
      <c r="J13" s="7" t="s">
        <v>24</v>
      </c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4.25" customHeight="1">
      <c r="A14" s="7" t="s">
        <v>18</v>
      </c>
      <c r="B14" s="7" t="s">
        <v>12</v>
      </c>
      <c r="C14" s="7"/>
      <c r="D14" s="7"/>
      <c r="E14" s="7"/>
      <c r="F14" s="7"/>
      <c r="G14" s="7"/>
      <c r="H14" s="7" t="s">
        <v>15</v>
      </c>
      <c r="I14" s="7"/>
      <c r="J14" s="7" t="s">
        <v>24</v>
      </c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4.25" customHeight="1">
      <c r="A15" s="7" t="s">
        <v>39</v>
      </c>
      <c r="B15" s="7" t="s">
        <v>12</v>
      </c>
      <c r="C15" s="7"/>
      <c r="D15" s="7"/>
      <c r="E15" s="7"/>
      <c r="F15" s="7"/>
      <c r="G15" s="7"/>
      <c r="H15" s="7" t="s">
        <v>15</v>
      </c>
      <c r="I15" s="7"/>
      <c r="J15" s="7" t="s">
        <v>24</v>
      </c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4.25" customHeight="1">
      <c r="A16" s="7" t="s">
        <v>29</v>
      </c>
      <c r="B16" s="7" t="s">
        <v>12</v>
      </c>
      <c r="C16" s="7"/>
      <c r="D16" s="7"/>
      <c r="E16" s="7"/>
      <c r="F16" s="7"/>
      <c r="G16" s="7"/>
      <c r="H16" s="7" t="s">
        <v>15</v>
      </c>
      <c r="I16" s="7"/>
      <c r="J16" s="7" t="s">
        <v>24</v>
      </c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4.25" customHeight="1">
      <c r="A17" s="7" t="s">
        <v>43</v>
      </c>
      <c r="B17" s="7" t="s">
        <v>12</v>
      </c>
      <c r="C17" s="7"/>
      <c r="D17" s="7"/>
      <c r="E17" s="7"/>
      <c r="F17" s="7"/>
      <c r="G17" s="7"/>
      <c r="H17" s="7" t="s">
        <v>15</v>
      </c>
      <c r="I17" s="7"/>
      <c r="J17" s="7" t="s">
        <v>24</v>
      </c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4.25" customHeight="1">
      <c r="A18" s="7" t="s">
        <v>33</v>
      </c>
      <c r="B18" s="7" t="s">
        <v>34</v>
      </c>
      <c r="C18" s="7"/>
      <c r="D18" s="7"/>
      <c r="E18" s="7"/>
      <c r="F18" s="7"/>
      <c r="G18" s="7"/>
      <c r="H18" s="7" t="s">
        <v>38</v>
      </c>
      <c r="I18" s="7"/>
      <c r="J18" s="7" t="s">
        <v>23</v>
      </c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4.25" customHeight="1">
      <c r="A19" s="7" t="s">
        <v>28</v>
      </c>
      <c r="B19" s="7" t="s">
        <v>34</v>
      </c>
      <c r="C19" s="7"/>
      <c r="D19" s="7"/>
      <c r="E19" s="7"/>
      <c r="F19" s="7"/>
      <c r="G19" s="7"/>
      <c r="H19" s="7" t="s">
        <v>38</v>
      </c>
      <c r="I19" s="7"/>
      <c r="J19" s="7" t="s">
        <v>23</v>
      </c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4.25" customHeight="1">
      <c r="A20" s="7" t="s">
        <v>42</v>
      </c>
      <c r="B20" s="7" t="s">
        <v>34</v>
      </c>
      <c r="C20" s="7"/>
      <c r="D20" s="7"/>
      <c r="E20" s="7"/>
      <c r="F20" s="7"/>
      <c r="G20" s="7"/>
      <c r="H20" s="7" t="s">
        <v>38</v>
      </c>
      <c r="I20" s="7"/>
      <c r="J20" s="7" t="s">
        <v>23</v>
      </c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4.25" customHeight="1">
      <c r="A21" s="7" t="s">
        <v>18</v>
      </c>
      <c r="B21" s="7" t="s">
        <v>34</v>
      </c>
      <c r="C21" s="7"/>
      <c r="D21" s="7"/>
      <c r="E21" s="7"/>
      <c r="F21" s="7"/>
      <c r="G21" s="7"/>
      <c r="H21" s="7" t="s">
        <v>38</v>
      </c>
      <c r="I21" s="7"/>
      <c r="J21" s="7" t="s">
        <v>23</v>
      </c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4.25" customHeight="1">
      <c r="A22" s="7" t="s">
        <v>39</v>
      </c>
      <c r="B22" s="7" t="s">
        <v>34</v>
      </c>
      <c r="C22" s="7"/>
      <c r="D22" s="7"/>
      <c r="E22" s="7"/>
      <c r="F22" s="7"/>
      <c r="G22" s="7"/>
      <c r="H22" s="7" t="s">
        <v>38</v>
      </c>
      <c r="I22" s="7"/>
      <c r="J22" s="7" t="s">
        <v>23</v>
      </c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4.25" customHeight="1">
      <c r="A23" s="7" t="s">
        <v>29</v>
      </c>
      <c r="B23" s="7" t="s">
        <v>34</v>
      </c>
      <c r="C23" s="7"/>
      <c r="D23" s="7"/>
      <c r="E23" s="7"/>
      <c r="F23" s="7"/>
      <c r="G23" s="7"/>
      <c r="H23" s="7" t="s">
        <v>38</v>
      </c>
      <c r="I23" s="7"/>
      <c r="J23" s="7" t="s">
        <v>23</v>
      </c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4.25" customHeight="1">
      <c r="A24" s="7" t="s">
        <v>43</v>
      </c>
      <c r="B24" s="7" t="s">
        <v>34</v>
      </c>
      <c r="C24" s="7"/>
      <c r="D24" s="7"/>
      <c r="E24" s="7"/>
      <c r="F24" s="7"/>
      <c r="G24" s="7"/>
      <c r="H24" s="7" t="s">
        <v>38</v>
      </c>
      <c r="I24" s="7"/>
      <c r="J24" s="7" t="s">
        <v>23</v>
      </c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4.25" customHeight="1">
      <c r="A25" s="7" t="s">
        <v>33</v>
      </c>
      <c r="B25" s="7" t="s">
        <v>41</v>
      </c>
      <c r="C25" s="7"/>
      <c r="D25" s="7"/>
      <c r="E25" s="7"/>
      <c r="F25" s="7"/>
      <c r="G25" s="7"/>
      <c r="H25" s="7" t="s">
        <v>40</v>
      </c>
      <c r="I25" s="7"/>
      <c r="J25" s="7" t="s">
        <v>35</v>
      </c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4.25" customHeight="1">
      <c r="A26" s="7" t="s">
        <v>28</v>
      </c>
      <c r="B26" s="7" t="s">
        <v>41</v>
      </c>
      <c r="C26" s="7"/>
      <c r="D26" s="7"/>
      <c r="E26" s="7"/>
      <c r="F26" s="7"/>
      <c r="G26" s="7"/>
      <c r="H26" s="7" t="s">
        <v>40</v>
      </c>
      <c r="I26" s="7"/>
      <c r="J26" s="7" t="s">
        <v>35</v>
      </c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4.25" customHeight="1">
      <c r="A27" s="7" t="s">
        <v>42</v>
      </c>
      <c r="B27" s="7" t="s">
        <v>41</v>
      </c>
      <c r="C27" s="7"/>
      <c r="D27" s="7"/>
      <c r="E27" s="7"/>
      <c r="F27" s="7"/>
      <c r="G27" s="7"/>
      <c r="H27" s="7" t="s">
        <v>40</v>
      </c>
      <c r="I27" s="7"/>
      <c r="J27" s="7" t="s">
        <v>35</v>
      </c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4.25" customHeight="1">
      <c r="A28" s="7" t="s">
        <v>18</v>
      </c>
      <c r="B28" s="7" t="s">
        <v>41</v>
      </c>
      <c r="C28" s="7"/>
      <c r="D28" s="7"/>
      <c r="E28" s="7"/>
      <c r="F28" s="7"/>
      <c r="G28" s="7"/>
      <c r="H28" s="7" t="s">
        <v>40</v>
      </c>
      <c r="I28" s="7"/>
      <c r="J28" s="7" t="s">
        <v>35</v>
      </c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4.25" customHeight="1">
      <c r="A29" s="7" t="s">
        <v>39</v>
      </c>
      <c r="B29" s="7" t="s">
        <v>41</v>
      </c>
      <c r="C29" s="7"/>
      <c r="D29" s="7"/>
      <c r="E29" s="7"/>
      <c r="F29" s="7"/>
      <c r="G29" s="7"/>
      <c r="H29" s="7" t="s">
        <v>40</v>
      </c>
      <c r="I29" s="7"/>
      <c r="J29" s="7" t="s">
        <v>35</v>
      </c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4.25" customHeight="1">
      <c r="A30" s="7" t="s">
        <v>29</v>
      </c>
      <c r="B30" s="7" t="s">
        <v>41</v>
      </c>
      <c r="C30" s="7"/>
      <c r="D30" s="7"/>
      <c r="E30" s="7"/>
      <c r="F30" s="7"/>
      <c r="G30" s="7"/>
      <c r="H30" s="7" t="s">
        <v>40</v>
      </c>
      <c r="I30" s="7"/>
      <c r="J30" s="7" t="s">
        <v>35</v>
      </c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4.25" customHeight="1">
      <c r="A31" s="7" t="s">
        <v>43</v>
      </c>
      <c r="B31" s="7" t="s">
        <v>41</v>
      </c>
      <c r="C31" s="7"/>
      <c r="D31" s="7"/>
      <c r="E31" s="7"/>
      <c r="F31" s="7"/>
      <c r="G31" s="7"/>
      <c r="H31" s="7" t="s">
        <v>40</v>
      </c>
      <c r="I31" s="7"/>
      <c r="J31" s="7" t="s">
        <v>35</v>
      </c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4.25" customHeight="1">
      <c r="A32" s="7" t="s">
        <v>33</v>
      </c>
      <c r="B32" s="7" t="s">
        <v>25</v>
      </c>
      <c r="C32" s="7"/>
      <c r="D32" s="7"/>
      <c r="E32" s="7"/>
      <c r="F32" s="7"/>
      <c r="G32" s="7"/>
      <c r="H32" s="7" t="s">
        <v>20</v>
      </c>
      <c r="I32" s="7"/>
      <c r="J32" s="7" t="s">
        <v>26</v>
      </c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4.25" customHeight="1">
      <c r="A33" s="7" t="s">
        <v>28</v>
      </c>
      <c r="B33" s="7" t="s">
        <v>25</v>
      </c>
      <c r="C33" s="7"/>
      <c r="D33" s="7"/>
      <c r="E33" s="7"/>
      <c r="F33" s="7"/>
      <c r="G33" s="7"/>
      <c r="H33" s="7" t="s">
        <v>20</v>
      </c>
      <c r="I33" s="7"/>
      <c r="J33" s="7" t="s">
        <v>26</v>
      </c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4.25" customHeight="1">
      <c r="A34" s="7" t="s">
        <v>42</v>
      </c>
      <c r="B34" s="7" t="s">
        <v>25</v>
      </c>
      <c r="C34" s="7"/>
      <c r="D34" s="7"/>
      <c r="E34" s="7"/>
      <c r="F34" s="7"/>
      <c r="G34" s="7"/>
      <c r="H34" s="7" t="s">
        <v>20</v>
      </c>
      <c r="I34" s="7"/>
      <c r="J34" s="7" t="s">
        <v>26</v>
      </c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4.25" customHeight="1">
      <c r="A35" s="7" t="s">
        <v>18</v>
      </c>
      <c r="B35" s="7" t="s">
        <v>25</v>
      </c>
      <c r="C35" s="7"/>
      <c r="D35" s="7"/>
      <c r="E35" s="7"/>
      <c r="F35" s="7"/>
      <c r="G35" s="7"/>
      <c r="H35" s="7" t="s">
        <v>20</v>
      </c>
      <c r="I35" s="7"/>
      <c r="J35" s="7" t="s">
        <v>26</v>
      </c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4.25" customHeight="1">
      <c r="A36" s="7" t="s">
        <v>39</v>
      </c>
      <c r="B36" s="7" t="s">
        <v>25</v>
      </c>
      <c r="C36" s="7"/>
      <c r="D36" s="7"/>
      <c r="E36" s="7"/>
      <c r="F36" s="7"/>
      <c r="G36" s="7"/>
      <c r="H36" s="7" t="s">
        <v>20</v>
      </c>
      <c r="I36" s="7"/>
      <c r="J36" s="7" t="s">
        <v>26</v>
      </c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4.25" customHeight="1">
      <c r="A37" s="7" t="s">
        <v>29</v>
      </c>
      <c r="B37" s="7" t="s">
        <v>25</v>
      </c>
      <c r="C37" s="7"/>
      <c r="D37" s="7"/>
      <c r="E37" s="7"/>
      <c r="F37" s="7"/>
      <c r="G37" s="7"/>
      <c r="H37" s="7" t="s">
        <v>20</v>
      </c>
      <c r="I37" s="7"/>
      <c r="J37" s="7" t="s">
        <v>26</v>
      </c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4.25" customHeight="1">
      <c r="A38" s="7" t="s">
        <v>43</v>
      </c>
      <c r="B38" s="7" t="s">
        <v>25</v>
      </c>
      <c r="C38" s="7"/>
      <c r="D38" s="7"/>
      <c r="E38" s="7"/>
      <c r="F38" s="7"/>
      <c r="G38" s="7"/>
      <c r="H38" s="7" t="s">
        <v>20</v>
      </c>
      <c r="I38" s="7"/>
      <c r="J38" s="7" t="s">
        <v>26</v>
      </c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4.25" customHeight="1">
      <c r="A39" s="7" t="s">
        <v>33</v>
      </c>
      <c r="B39" s="7" t="s">
        <v>17</v>
      </c>
      <c r="C39" s="7"/>
      <c r="D39" s="7"/>
      <c r="E39" s="7"/>
      <c r="F39" s="7"/>
      <c r="G39" s="7"/>
      <c r="H39" s="7" t="s">
        <v>27</v>
      </c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4.25" customHeight="1">
      <c r="A40" s="7" t="s">
        <v>28</v>
      </c>
      <c r="B40" s="7" t="s">
        <v>17</v>
      </c>
      <c r="C40" s="7"/>
      <c r="D40" s="7"/>
      <c r="E40" s="7"/>
      <c r="F40" s="7"/>
      <c r="G40" s="7"/>
      <c r="H40" s="7" t="s">
        <v>27</v>
      </c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4.25" customHeight="1">
      <c r="A41" s="7" t="s">
        <v>42</v>
      </c>
      <c r="B41" s="7" t="s">
        <v>17</v>
      </c>
      <c r="C41" s="7"/>
      <c r="D41" s="7"/>
      <c r="E41" s="7"/>
      <c r="F41" s="7"/>
      <c r="G41" s="7"/>
      <c r="H41" s="7" t="s">
        <v>27</v>
      </c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4.25" customHeight="1">
      <c r="A42" s="7" t="s">
        <v>18</v>
      </c>
      <c r="B42" s="7" t="s">
        <v>17</v>
      </c>
      <c r="C42" s="7"/>
      <c r="D42" s="7"/>
      <c r="E42" s="7"/>
      <c r="F42" s="7"/>
      <c r="G42" s="7"/>
      <c r="H42" s="7" t="s">
        <v>27</v>
      </c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4.25" customHeight="1">
      <c r="A43" s="7" t="s">
        <v>39</v>
      </c>
      <c r="B43" s="7" t="s">
        <v>17</v>
      </c>
      <c r="C43" s="7"/>
      <c r="D43" s="7"/>
      <c r="E43" s="7"/>
      <c r="F43" s="7"/>
      <c r="G43" s="7"/>
      <c r="H43" s="7" t="s">
        <v>27</v>
      </c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4.25" customHeight="1">
      <c r="A44" s="7" t="s">
        <v>29</v>
      </c>
      <c r="B44" s="7" t="s">
        <v>17</v>
      </c>
      <c r="C44" s="7"/>
      <c r="D44" s="7"/>
      <c r="E44" s="7"/>
      <c r="F44" s="7"/>
      <c r="G44" s="7"/>
      <c r="H44" s="7" t="s">
        <v>27</v>
      </c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4.25" customHeight="1">
      <c r="A45" s="7" t="s">
        <v>43</v>
      </c>
      <c r="B45" s="7" t="s">
        <v>17</v>
      </c>
      <c r="C45" s="7"/>
      <c r="D45" s="7"/>
      <c r="E45" s="7"/>
      <c r="F45" s="7"/>
      <c r="G45" s="7"/>
      <c r="H45" s="7" t="s">
        <v>27</v>
      </c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4.25" customHeight="1">
      <c r="A46" s="7" t="s">
        <v>33</v>
      </c>
      <c r="B46" s="7" t="s">
        <v>121</v>
      </c>
      <c r="C46" s="7"/>
      <c r="D46" s="7"/>
      <c r="E46" s="7"/>
      <c r="F46" s="7"/>
      <c r="G46" s="7"/>
      <c r="H46" s="7" t="s">
        <v>24</v>
      </c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4.25" customHeight="1">
      <c r="A47" s="7" t="s">
        <v>28</v>
      </c>
      <c r="B47" s="7" t="s">
        <v>121</v>
      </c>
      <c r="C47" s="7"/>
      <c r="D47" s="7"/>
      <c r="E47" s="7"/>
      <c r="F47" s="7"/>
      <c r="G47" s="7"/>
      <c r="H47" s="7" t="s">
        <v>24</v>
      </c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4.25" customHeight="1">
      <c r="A48" s="7" t="s">
        <v>42</v>
      </c>
      <c r="B48" s="7" t="s">
        <v>121</v>
      </c>
      <c r="C48" s="7"/>
      <c r="D48" s="7"/>
      <c r="E48" s="7"/>
      <c r="F48" s="7"/>
      <c r="G48" s="7"/>
      <c r="H48" s="7" t="s">
        <v>24</v>
      </c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4.25" customHeight="1">
      <c r="A49" s="7" t="s">
        <v>18</v>
      </c>
      <c r="B49" s="7" t="s">
        <v>121</v>
      </c>
      <c r="C49" s="7"/>
      <c r="D49" s="7"/>
      <c r="E49" s="7"/>
      <c r="F49" s="7"/>
      <c r="G49" s="7"/>
      <c r="H49" s="7" t="s">
        <v>24</v>
      </c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4.25" customHeight="1">
      <c r="A50" s="7" t="s">
        <v>39</v>
      </c>
      <c r="B50" s="7" t="s">
        <v>121</v>
      </c>
      <c r="C50" s="7"/>
      <c r="D50" s="7"/>
      <c r="E50" s="7"/>
      <c r="F50" s="7"/>
      <c r="G50" s="7"/>
      <c r="H50" s="7" t="s">
        <v>24</v>
      </c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4.25" customHeight="1">
      <c r="A51" s="7" t="s">
        <v>29</v>
      </c>
      <c r="B51" s="7" t="s">
        <v>121</v>
      </c>
      <c r="C51" s="7"/>
      <c r="D51" s="7"/>
      <c r="E51" s="7"/>
      <c r="F51" s="7"/>
      <c r="G51" s="7"/>
      <c r="H51" s="7" t="s">
        <v>24</v>
      </c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4.25" customHeight="1">
      <c r="A52" s="7" t="s">
        <v>43</v>
      </c>
      <c r="B52" s="7" t="s">
        <v>121</v>
      </c>
      <c r="C52" s="7"/>
      <c r="D52" s="7"/>
      <c r="E52" s="7"/>
      <c r="F52" s="7"/>
      <c r="G52" s="7"/>
      <c r="H52" s="7" t="s">
        <v>24</v>
      </c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4.25" customHeight="1">
      <c r="A53" s="7" t="s">
        <v>33</v>
      </c>
      <c r="B53" s="7" t="s">
        <v>37</v>
      </c>
      <c r="C53" s="7"/>
      <c r="D53" s="7"/>
      <c r="E53" s="7"/>
      <c r="F53" s="7"/>
      <c r="G53" s="7"/>
      <c r="H53" s="7" t="s">
        <v>23</v>
      </c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4.25" customHeight="1">
      <c r="A54" s="7" t="s">
        <v>28</v>
      </c>
      <c r="B54" s="7" t="s">
        <v>37</v>
      </c>
      <c r="C54" s="7"/>
      <c r="D54" s="7"/>
      <c r="E54" s="7"/>
      <c r="F54" s="7"/>
      <c r="G54" s="7"/>
      <c r="H54" s="7" t="s">
        <v>23</v>
      </c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4.25" customHeight="1">
      <c r="A55" s="7" t="s">
        <v>42</v>
      </c>
      <c r="B55" s="7" t="s">
        <v>37</v>
      </c>
      <c r="C55" s="7"/>
      <c r="D55" s="7"/>
      <c r="E55" s="7"/>
      <c r="F55" s="7"/>
      <c r="G55" s="7"/>
      <c r="H55" s="7" t="s">
        <v>23</v>
      </c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4.25" customHeight="1">
      <c r="A56" s="7" t="s">
        <v>18</v>
      </c>
      <c r="B56" s="7" t="s">
        <v>37</v>
      </c>
      <c r="C56" s="7"/>
      <c r="D56" s="7"/>
      <c r="E56" s="7"/>
      <c r="F56" s="7"/>
      <c r="G56" s="7"/>
      <c r="H56" s="7" t="s">
        <v>23</v>
      </c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4.25" customHeight="1">
      <c r="A57" s="7" t="s">
        <v>39</v>
      </c>
      <c r="B57" s="7" t="s">
        <v>37</v>
      </c>
      <c r="C57" s="7"/>
      <c r="D57" s="7"/>
      <c r="E57" s="7"/>
      <c r="F57" s="7"/>
      <c r="G57" s="7"/>
      <c r="H57" s="7" t="s">
        <v>23</v>
      </c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4.25" customHeight="1">
      <c r="A58" s="7" t="s">
        <v>29</v>
      </c>
      <c r="B58" s="7" t="s">
        <v>37</v>
      </c>
      <c r="C58" s="7"/>
      <c r="D58" s="7"/>
      <c r="E58" s="7"/>
      <c r="F58" s="7"/>
      <c r="G58" s="7"/>
      <c r="H58" s="7" t="s">
        <v>23</v>
      </c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4.25" customHeight="1">
      <c r="A59" s="7" t="s">
        <v>43</v>
      </c>
      <c r="B59" s="7" t="s">
        <v>37</v>
      </c>
      <c r="C59" s="7"/>
      <c r="D59" s="7"/>
      <c r="E59" s="7"/>
      <c r="F59" s="7"/>
      <c r="G59" s="7"/>
      <c r="H59" s="7" t="s">
        <v>23</v>
      </c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4.25" customHeight="1">
      <c r="A60" s="7" t="s">
        <v>33</v>
      </c>
      <c r="B60" s="7" t="s">
        <v>36</v>
      </c>
      <c r="C60" s="7"/>
      <c r="D60" s="7"/>
      <c r="E60" s="7"/>
      <c r="F60" s="7"/>
      <c r="G60" s="7"/>
      <c r="H60" s="7" t="s">
        <v>35</v>
      </c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4.25" customHeight="1">
      <c r="A61" s="7" t="s">
        <v>28</v>
      </c>
      <c r="B61" s="7" t="s">
        <v>36</v>
      </c>
      <c r="C61" s="7"/>
      <c r="D61" s="7"/>
      <c r="E61" s="7"/>
      <c r="F61" s="7"/>
      <c r="G61" s="7"/>
      <c r="H61" s="7" t="s">
        <v>35</v>
      </c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4.25" customHeight="1">
      <c r="A62" s="7" t="s">
        <v>42</v>
      </c>
      <c r="B62" s="7" t="s">
        <v>36</v>
      </c>
      <c r="C62" s="7"/>
      <c r="D62" s="7"/>
      <c r="E62" s="7"/>
      <c r="F62" s="7"/>
      <c r="G62" s="7"/>
      <c r="H62" s="7" t="s">
        <v>35</v>
      </c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4.25" customHeight="1">
      <c r="A63" s="7" t="s">
        <v>18</v>
      </c>
      <c r="B63" s="7" t="s">
        <v>36</v>
      </c>
      <c r="C63" s="7"/>
      <c r="D63" s="7"/>
      <c r="E63" s="7"/>
      <c r="F63" s="7"/>
      <c r="G63" s="7"/>
      <c r="H63" s="7" t="s">
        <v>35</v>
      </c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4.25" customHeight="1">
      <c r="A64" s="7" t="s">
        <v>39</v>
      </c>
      <c r="B64" s="7" t="s">
        <v>36</v>
      </c>
      <c r="C64" s="7"/>
      <c r="D64" s="7"/>
      <c r="E64" s="7"/>
      <c r="F64" s="7"/>
      <c r="G64" s="7"/>
      <c r="H64" s="7" t="s">
        <v>35</v>
      </c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4.25" customHeight="1">
      <c r="A65" s="7" t="s">
        <v>29</v>
      </c>
      <c r="B65" s="7" t="s">
        <v>36</v>
      </c>
      <c r="C65" s="7"/>
      <c r="D65" s="7"/>
      <c r="E65" s="7"/>
      <c r="F65" s="7"/>
      <c r="G65" s="7"/>
      <c r="H65" s="7" t="s">
        <v>35</v>
      </c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4.25" customHeight="1">
      <c r="A66" s="7" t="s">
        <v>43</v>
      </c>
      <c r="B66" s="7" t="s">
        <v>36</v>
      </c>
      <c r="C66" s="7"/>
      <c r="D66" s="7"/>
      <c r="E66" s="7"/>
      <c r="F66" s="7"/>
      <c r="G66" s="7"/>
      <c r="H66" s="7" t="s">
        <v>35</v>
      </c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4.25" customHeight="1">
      <c r="A67" s="7" t="s">
        <v>33</v>
      </c>
      <c r="B67" s="7" t="s">
        <v>15</v>
      </c>
      <c r="C67" s="7"/>
      <c r="D67" s="7"/>
      <c r="E67" s="7"/>
      <c r="F67" s="7"/>
      <c r="G67" s="7"/>
      <c r="H67" s="7" t="s">
        <v>26</v>
      </c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4.25" customHeight="1">
      <c r="A68" s="7" t="s">
        <v>28</v>
      </c>
      <c r="B68" s="7" t="s">
        <v>15</v>
      </c>
      <c r="C68" s="7"/>
      <c r="D68" s="7"/>
      <c r="E68" s="7"/>
      <c r="F68" s="7"/>
      <c r="G68" s="7"/>
      <c r="H68" s="7" t="s">
        <v>26</v>
      </c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4.25" customHeight="1">
      <c r="A69" s="7" t="s">
        <v>42</v>
      </c>
      <c r="B69" s="7" t="s">
        <v>15</v>
      </c>
      <c r="C69" s="7"/>
      <c r="D69" s="7"/>
      <c r="E69" s="7"/>
      <c r="F69" s="7"/>
      <c r="G69" s="7"/>
      <c r="H69" s="7" t="s">
        <v>26</v>
      </c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4.25" customHeight="1">
      <c r="A70" s="7" t="s">
        <v>18</v>
      </c>
      <c r="B70" s="7" t="s">
        <v>15</v>
      </c>
      <c r="C70" s="7"/>
      <c r="D70" s="7"/>
      <c r="E70" s="7"/>
      <c r="F70" s="7"/>
      <c r="G70" s="7"/>
      <c r="H70" s="7" t="s">
        <v>26</v>
      </c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4.25" customHeight="1">
      <c r="A71" s="7" t="s">
        <v>39</v>
      </c>
      <c r="B71" s="7" t="s">
        <v>15</v>
      </c>
      <c r="C71" s="7"/>
      <c r="D71" s="7"/>
      <c r="E71" s="7"/>
      <c r="F71" s="7"/>
      <c r="G71" s="7"/>
      <c r="H71" s="7" t="s">
        <v>26</v>
      </c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4.25" customHeight="1">
      <c r="A72" s="7" t="s">
        <v>29</v>
      </c>
      <c r="B72" s="7" t="s">
        <v>15</v>
      </c>
      <c r="C72" s="7"/>
      <c r="D72" s="7"/>
      <c r="E72" s="7"/>
      <c r="F72" s="7"/>
      <c r="G72" s="7"/>
      <c r="H72" s="7" t="s">
        <v>26</v>
      </c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4.25" customHeight="1">
      <c r="A73" s="7" t="s">
        <v>43</v>
      </c>
      <c r="B73" s="7" t="s">
        <v>15</v>
      </c>
      <c r="C73" s="7"/>
      <c r="D73" s="7"/>
      <c r="E73" s="7"/>
      <c r="F73" s="7"/>
      <c r="G73" s="7"/>
      <c r="H73" s="7" t="s">
        <v>26</v>
      </c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4.25" customHeight="1">
      <c r="A74" s="7" t="s">
        <v>33</v>
      </c>
      <c r="B74" s="7" t="s">
        <v>38</v>
      </c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4.25" customHeight="1">
      <c r="A75" s="7" t="s">
        <v>28</v>
      </c>
      <c r="B75" s="7" t="s">
        <v>38</v>
      </c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4.25" customHeight="1">
      <c r="A76" s="7" t="s">
        <v>42</v>
      </c>
      <c r="B76" s="7" t="s">
        <v>38</v>
      </c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4.25" customHeight="1">
      <c r="A77" s="7" t="s">
        <v>18</v>
      </c>
      <c r="B77" s="7" t="s">
        <v>38</v>
      </c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4.25" customHeight="1">
      <c r="A78" s="7" t="s">
        <v>39</v>
      </c>
      <c r="B78" s="7" t="s">
        <v>38</v>
      </c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4.25" customHeight="1">
      <c r="A79" s="7" t="s">
        <v>29</v>
      </c>
      <c r="B79" s="7" t="s">
        <v>38</v>
      </c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4.25" customHeight="1">
      <c r="A80" s="7" t="s">
        <v>43</v>
      </c>
      <c r="B80" s="7" t="s">
        <v>38</v>
      </c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4.25" customHeight="1">
      <c r="A81" s="7" t="s">
        <v>33</v>
      </c>
      <c r="B81" s="7" t="s">
        <v>40</v>
      </c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4.25" customHeight="1">
      <c r="A82" s="7" t="s">
        <v>28</v>
      </c>
      <c r="B82" s="7" t="s">
        <v>40</v>
      </c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4.25" customHeight="1">
      <c r="A83" s="7" t="s">
        <v>42</v>
      </c>
      <c r="B83" s="7" t="s">
        <v>40</v>
      </c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4.25" customHeight="1">
      <c r="A84" s="7" t="s">
        <v>18</v>
      </c>
      <c r="B84" s="7" t="s">
        <v>40</v>
      </c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4.25" customHeight="1">
      <c r="A85" s="7" t="s">
        <v>39</v>
      </c>
      <c r="B85" s="7" t="s">
        <v>40</v>
      </c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4.25" customHeight="1">
      <c r="A86" s="7" t="s">
        <v>29</v>
      </c>
      <c r="B86" s="7" t="s">
        <v>40</v>
      </c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4.25" customHeight="1">
      <c r="A87" s="7" t="s">
        <v>43</v>
      </c>
      <c r="B87" s="7" t="s">
        <v>40</v>
      </c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4.25" customHeight="1">
      <c r="A88" s="7" t="s">
        <v>33</v>
      </c>
      <c r="B88" s="7" t="s">
        <v>20</v>
      </c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4.25" customHeight="1">
      <c r="A89" s="7" t="s">
        <v>28</v>
      </c>
      <c r="B89" s="7" t="s">
        <v>20</v>
      </c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4.25" customHeight="1">
      <c r="A90" s="7" t="s">
        <v>42</v>
      </c>
      <c r="B90" s="7" t="s">
        <v>20</v>
      </c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4.25" customHeight="1">
      <c r="A91" s="7" t="s">
        <v>18</v>
      </c>
      <c r="B91" s="7" t="s">
        <v>20</v>
      </c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4.25" customHeight="1">
      <c r="A92" s="7" t="s">
        <v>39</v>
      </c>
      <c r="B92" s="7" t="s">
        <v>20</v>
      </c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4.25" customHeight="1">
      <c r="A93" s="7" t="s">
        <v>29</v>
      </c>
      <c r="B93" s="7" t="s">
        <v>20</v>
      </c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4.25" customHeight="1">
      <c r="A94" s="7" t="s">
        <v>43</v>
      </c>
      <c r="B94" s="7" t="s">
        <v>20</v>
      </c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4.25" customHeight="1">
      <c r="A95" s="7" t="s">
        <v>33</v>
      </c>
      <c r="B95" s="7" t="s">
        <v>27</v>
      </c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4.25" customHeight="1">
      <c r="A96" s="7" t="s">
        <v>28</v>
      </c>
      <c r="B96" s="7" t="s">
        <v>27</v>
      </c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4.25" customHeight="1">
      <c r="A97" s="7" t="s">
        <v>42</v>
      </c>
      <c r="B97" s="7" t="s">
        <v>27</v>
      </c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4.25" customHeight="1">
      <c r="A98" s="7" t="s">
        <v>18</v>
      </c>
      <c r="B98" s="7" t="s">
        <v>27</v>
      </c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4.25" customHeight="1">
      <c r="A99" s="7" t="s">
        <v>39</v>
      </c>
      <c r="B99" s="7" t="s">
        <v>27</v>
      </c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4.25" customHeight="1">
      <c r="A100" s="7" t="s">
        <v>29</v>
      </c>
      <c r="B100" s="7" t="s">
        <v>27</v>
      </c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4.25" customHeight="1">
      <c r="A101" s="7" t="s">
        <v>43</v>
      </c>
      <c r="B101" s="7" t="s">
        <v>27</v>
      </c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4.25" customHeight="1">
      <c r="A102" s="7" t="s">
        <v>33</v>
      </c>
      <c r="B102" s="7" t="s">
        <v>24</v>
      </c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4.25" customHeight="1">
      <c r="A103" s="7" t="s">
        <v>28</v>
      </c>
      <c r="B103" s="7" t="s">
        <v>24</v>
      </c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4.25" customHeight="1">
      <c r="A104" s="7" t="s">
        <v>42</v>
      </c>
      <c r="B104" s="7" t="s">
        <v>24</v>
      </c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4.25" customHeight="1">
      <c r="A105" s="7" t="s">
        <v>18</v>
      </c>
      <c r="B105" s="7" t="s">
        <v>24</v>
      </c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4.25" customHeight="1">
      <c r="A106" s="7" t="s">
        <v>39</v>
      </c>
      <c r="B106" s="7" t="s">
        <v>24</v>
      </c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4.25" customHeight="1">
      <c r="A107" s="7" t="s">
        <v>29</v>
      </c>
      <c r="B107" s="7" t="s">
        <v>24</v>
      </c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4.25" customHeight="1">
      <c r="A108" s="7" t="s">
        <v>43</v>
      </c>
      <c r="B108" s="7" t="s">
        <v>24</v>
      </c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4.25" customHeight="1">
      <c r="A109" s="7" t="s">
        <v>33</v>
      </c>
      <c r="B109" s="7" t="s">
        <v>23</v>
      </c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4.25" customHeight="1">
      <c r="A110" s="7" t="s">
        <v>28</v>
      </c>
      <c r="B110" s="7" t="s">
        <v>23</v>
      </c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4.25" customHeight="1">
      <c r="A111" s="7" t="s">
        <v>42</v>
      </c>
      <c r="B111" s="7" t="s">
        <v>23</v>
      </c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4.25" customHeight="1">
      <c r="A112" s="7" t="s">
        <v>18</v>
      </c>
      <c r="B112" s="7" t="s">
        <v>23</v>
      </c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4.25" customHeight="1">
      <c r="A113" s="7" t="s">
        <v>39</v>
      </c>
      <c r="B113" s="7" t="s">
        <v>23</v>
      </c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4.25" customHeight="1">
      <c r="A114" s="7" t="s">
        <v>29</v>
      </c>
      <c r="B114" s="7" t="s">
        <v>23</v>
      </c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4.25" customHeight="1">
      <c r="A115" s="7" t="s">
        <v>43</v>
      </c>
      <c r="B115" s="7" t="s">
        <v>23</v>
      </c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4.25" customHeight="1">
      <c r="A116" s="7" t="s">
        <v>33</v>
      </c>
      <c r="B116" s="7" t="s">
        <v>35</v>
      </c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4.25" customHeight="1">
      <c r="A117" s="7" t="s">
        <v>28</v>
      </c>
      <c r="B117" s="7" t="s">
        <v>35</v>
      </c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4.25" customHeight="1">
      <c r="A118" s="7" t="s">
        <v>42</v>
      </c>
      <c r="B118" s="7" t="s">
        <v>35</v>
      </c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4.25" customHeight="1">
      <c r="A119" s="7" t="s">
        <v>18</v>
      </c>
      <c r="B119" s="7" t="s">
        <v>35</v>
      </c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4.25" customHeight="1">
      <c r="A120" s="7" t="s">
        <v>39</v>
      </c>
      <c r="B120" s="7" t="s">
        <v>35</v>
      </c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4.25" customHeight="1">
      <c r="A121" s="7" t="s">
        <v>29</v>
      </c>
      <c r="B121" s="7" t="s">
        <v>35</v>
      </c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4.25" customHeight="1">
      <c r="A122" s="7" t="s">
        <v>43</v>
      </c>
      <c r="B122" s="7" t="s">
        <v>35</v>
      </c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4.25" customHeight="1">
      <c r="A123" s="7" t="s">
        <v>33</v>
      </c>
      <c r="B123" s="7" t="s">
        <v>26</v>
      </c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4.25" customHeight="1">
      <c r="A124" s="7" t="s">
        <v>28</v>
      </c>
      <c r="B124" s="7" t="s">
        <v>26</v>
      </c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4.25" customHeight="1">
      <c r="A125" s="7" t="s">
        <v>42</v>
      </c>
      <c r="B125" s="7" t="s">
        <v>26</v>
      </c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4.25" customHeight="1">
      <c r="A126" s="7" t="s">
        <v>18</v>
      </c>
      <c r="B126" s="7" t="s">
        <v>26</v>
      </c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4.25" customHeight="1">
      <c r="A127" s="7" t="s">
        <v>39</v>
      </c>
      <c r="B127" s="7" t="s">
        <v>26</v>
      </c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4.25" customHeight="1">
      <c r="A128" s="7" t="s">
        <v>29</v>
      </c>
      <c r="B128" s="7" t="s">
        <v>26</v>
      </c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4.25" customHeight="1">
      <c r="A129" s="7" t="s">
        <v>43</v>
      </c>
      <c r="B129" s="7" t="s">
        <v>26</v>
      </c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4.2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4.2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4.2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4.2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4.2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4.2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4.2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4.2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4.2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4.2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4.2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4.2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4.2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4.2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4.2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4.2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4.2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4.2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4.2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4.2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4.2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4.2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4.2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4.2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4.2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4.2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4.2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4.2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4.2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4.2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4.2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4.2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4.2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4.2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4.2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4.2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4.2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4.2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4.2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4.2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4.2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4.2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4.2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4.2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4.2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4.2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4.2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4.2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4.2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4.2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4.2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4.2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4.2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4.2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4.2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4.2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4.2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4.2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4.2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4.2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4.2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4.2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4.2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4.2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4.2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4.2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4.2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4.2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4.2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4.2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4.2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4.2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4.2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4.2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4.2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4.2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4.2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4.2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4.2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4.2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4.2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4.2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4.2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4.2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4.2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4.2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4.2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4.2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4.2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4.2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4.2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4.2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4.2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4.2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4.2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4.2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4.2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4.2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4.2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4.2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4.2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4.2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4.2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4.2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4.2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4.2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4.2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4.2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4.2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4.2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4.2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4.2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4.2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4.2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4.2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4.2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4.2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4.2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4.2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4.2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4.2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4.2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4.2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4.2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4.2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4.2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4.2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4.2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4.2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4.2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4.2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4.2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4.2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4.2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4.2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4.2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4.2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4.2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4.2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4.2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4.2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4.2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4.2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4.2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4.2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4.2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4.2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4.2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4.2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4.2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4.2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4.2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4.2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4.2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4.2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4.2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4.2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4.2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4.2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4.2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4.2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4.2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4.2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4.2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4.2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4.2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4.2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4.2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4.2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4.2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4.2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4.2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4.2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4.2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4.2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4.2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4.2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4.2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4.2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4.2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4.2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4.2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4.2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4.2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4.2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4.2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4.2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4.2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4.2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4.2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4.2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4.2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4.2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4.2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4.2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4.2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4.2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4.2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4.2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4.2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4.2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4.2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4.2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4.2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4.2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4.2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4.2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4.2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4.2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4.2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4.2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4.2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4.2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4.2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4.2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4.2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4.2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4.2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4.2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4.2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4.2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4.2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4.2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4.2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4.2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4.2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4.2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4.2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4.2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4.2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4.2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4.2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4.2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4.2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4.2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4.2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4.2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4.2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4.2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4.2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4.2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4.2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4.2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4.2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4.2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4.2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4.2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4.2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4.2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4.2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4.2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4.2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4.2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4.2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4.2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4.2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4.2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4.2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4.2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4.2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4.2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4.2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4.2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4.2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4.2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4.2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4.2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4.2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4.2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4.2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4.2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4.2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4.2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4.2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4.2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4.2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4.2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4.2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4.2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4.2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4.2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4.2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4.2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4.2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4.2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4.2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4.2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4.2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4.2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4.2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4.2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4.2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4.2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4.2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4.2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4.2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4.2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4.2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4.2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4.2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4.2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4.2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4.2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4.2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4.2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4.2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4.2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4.2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4.2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4.2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4.2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4.2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4.2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4.2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4.2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4.2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4.2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4.2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4.2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4.2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4.2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4.2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4.2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4.2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4.2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4.2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4.2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4.2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4.2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4.2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4.2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4.2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4.2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4.2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4.2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4.2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4.2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4.2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4.2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4.2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4.2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4.2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4.2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4.2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4.2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4.2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4.2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4.2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4.2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4.2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4.2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4.2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4.2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4.2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4.2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4.2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4.2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4.2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4.2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4.2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4.2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4.2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4.2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4.2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4.2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4.2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4.2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4.2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4.2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4.2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4.2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4.2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4.2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4.2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4.2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4.2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4.2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4.2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4.2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4.2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4.2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4.2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4.2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4.2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4.2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4.2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4.2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4.2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4.2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4.2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4.2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4.2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4.2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4.2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4.2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4.2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4.2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4.2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4.2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4.2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4.2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4.2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4.2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4.2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4.2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4.2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4.2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4.2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4.2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4.2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4.2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4.2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4.2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4.2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4.2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4.2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4.2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4.2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4.2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4.2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4.2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4.2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4.2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4.2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4.2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4.2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4.2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4.2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4.2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4.2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4.2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4.2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4.2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4.2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4.2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4.2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4.2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4.2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4.2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4.2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4.2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4.2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4.2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4.2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4.2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4.2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4.2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4.2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4.2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4.2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4.2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4.2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4.2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4.2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4.2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4.2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4.2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4.2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4.2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4.2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4.2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4.2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4.2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4.2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4.2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4.2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4.2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4.2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4.2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4.2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4.2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4.2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4.2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4.2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4.2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4.2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4.2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4.2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4.2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4.2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4.2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4.2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4.2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4.2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4.2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4.2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4.2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4.2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4.2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4.2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4.2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4.2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4.2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4.2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4.2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4.2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4.2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4.2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4.2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4.2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4.2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4.2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4.2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4.2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4.2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4.2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4.2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4.2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4.2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4.2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4.2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4.2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4.2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4.2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4.2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4.2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4.2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4.2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4.2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4.2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4.2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4.2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4.2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4.2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4.2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4.2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4.2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4.2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4.2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4.2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4.2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4.2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4.2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4.2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4.2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4.2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4.2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4.2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4.2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4.2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4.2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4.2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4.2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4.2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4.2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4.2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4.2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4.2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4.2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4.2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4.2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4.2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4.2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4.2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4.2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4.2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4.2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4.2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4.2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4.2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4.2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4.2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4.2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4.2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4.2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4.2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4.2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4.2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4.2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4.2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4.2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4.2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4.2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4.2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4.2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4.2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4.2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4.2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4.2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4.2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4.2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4.2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4.2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4.2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4.2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4.2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4.2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4.2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4.2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4.2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4.2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4.2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4.2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4.2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4.2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4.2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4.2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4.2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4.2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4.2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4.2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4.2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4.2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4.2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4.2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4.2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4.2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4.2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4.2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4.2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4.2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4.2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4.2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4.2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4.2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4.2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4.2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4.2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4.2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4.2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4.2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4.2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4.2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4.2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4.2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4.2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4.2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4.2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4.2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4.2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4.2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4.2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4.2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4.2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4.2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4.2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4.2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4.2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4.2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4.2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4.2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4.2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4.2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4.2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4.2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4.2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4.2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4.2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4.2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4.2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4.2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4.2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4.2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4.2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4.2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4.2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4.2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4.2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4.2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4.2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4.2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4.2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4.2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4.2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4.2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4.2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4.2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4.2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4.2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4.2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4.2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4.2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4.2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4.2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4.2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4.2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4.2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4.2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4.2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4.2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4.2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4.2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4.2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4.2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4.2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4.2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4.2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4.2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4.2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4.2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4.2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4.2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4.2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4.2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4.2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4.2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4.2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4.2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4.2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4.2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4.2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4.2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4.2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4.2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4.2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4.2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4.2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4.2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4.2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4.2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4.2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4.2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4.2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4.2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4.2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4.2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4.2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4.2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4.2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4.2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4.2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4.2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4.2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4.2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4.2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4.2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4.2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4.2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4.2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4.2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4.2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4.2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4.2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4.2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4.2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4.2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4.2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4.2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4.2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4.2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4.2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4.2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4.2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4.2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4.2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4.2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4.2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4.2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4.2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4.2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4.2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4.2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4.2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4.2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4.2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4.2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4.2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4.2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4.2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4.2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4.2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4.2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4.2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4.2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4.2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4.2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4.2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4.2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4.2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4.2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4.2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4.2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4.2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4.2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4.2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4.2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4.2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4.2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4.2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4.2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4.2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4.2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4.2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4.2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4.2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4.2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4.2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4.2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4.2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4.2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4.2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4.2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4.2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4.2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4.2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4.2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4.2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4.2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4.2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4.2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4.2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4.2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4.2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4.2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4.2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4.2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4.2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4.2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4.2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4.2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4.2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4.2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4.2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4.2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4.2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4.2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4.2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4.2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4.2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4.2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4.2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4.2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4.2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4.2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4.2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4.2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4.2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4.2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4.2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4.2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4.2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4.2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4.2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4.2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4.2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4.2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4.2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4.2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4.2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4.2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4.2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4.2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4.2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4.2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4.2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4.2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4.2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4.2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4.2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4.2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4.2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4.2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4.2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4.2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4.2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4.2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4.2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4.2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4.2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4.2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4.2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4.2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4.2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4.2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4.2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4.2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4.2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4.2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4.2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4.2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4.2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/>
  </sheetViews>
  <sheetFormatPr customHeight="1" defaultColWidth="12.63" defaultRowHeight="15.0"/>
  <cols>
    <col customWidth="1" min="1" max="1" width="29.75"/>
    <col customWidth="1" min="2" max="2" width="10.0"/>
    <col customWidth="1" min="3" max="3" width="21.38"/>
    <col customWidth="1" min="4" max="4" width="10.63"/>
    <col customWidth="1" min="5" max="5" width="40.38"/>
    <col customWidth="1" min="6" max="6" width="15.5"/>
    <col customWidth="1" min="7" max="7" width="45.25"/>
    <col customWidth="1" min="8" max="26" width="29.75"/>
  </cols>
  <sheetData>
    <row r="1" ht="24.0" customHeight="1">
      <c r="A1" s="8" t="s">
        <v>122</v>
      </c>
      <c r="B1" s="8" t="s">
        <v>46</v>
      </c>
      <c r="C1" s="8" t="s">
        <v>123</v>
      </c>
      <c r="D1" s="8" t="s">
        <v>124</v>
      </c>
      <c r="E1" s="8" t="s">
        <v>125</v>
      </c>
      <c r="F1" s="9" t="s">
        <v>126</v>
      </c>
      <c r="G1" s="8" t="s">
        <v>127</v>
      </c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24.0" customHeight="1">
      <c r="A2" s="8">
        <v>1.0</v>
      </c>
      <c r="B2" s="8" t="s">
        <v>33</v>
      </c>
      <c r="C2" s="8" t="s">
        <v>128</v>
      </c>
      <c r="D2" s="8">
        <v>1.0</v>
      </c>
      <c r="E2" s="8" t="s">
        <v>129</v>
      </c>
      <c r="F2" s="9">
        <v>1.0</v>
      </c>
      <c r="G2" s="10" t="s">
        <v>130</v>
      </c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24.0" customHeight="1">
      <c r="A3" s="8">
        <v>2.0</v>
      </c>
      <c r="B3" s="8" t="s">
        <v>28</v>
      </c>
      <c r="C3" s="8" t="s">
        <v>128</v>
      </c>
      <c r="D3" s="8">
        <v>2.0</v>
      </c>
      <c r="E3" s="8" t="s">
        <v>131</v>
      </c>
      <c r="F3" s="9"/>
      <c r="G3" s="8" t="s">
        <v>130</v>
      </c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24.0" customHeight="1">
      <c r="A4" s="8">
        <v>3.0</v>
      </c>
      <c r="B4" s="8" t="s">
        <v>42</v>
      </c>
      <c r="C4" s="8" t="s">
        <v>128</v>
      </c>
      <c r="D4" s="8">
        <v>3.0</v>
      </c>
      <c r="E4" s="8" t="s">
        <v>132</v>
      </c>
      <c r="F4" s="9"/>
      <c r="G4" s="8" t="s">
        <v>130</v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24.0" customHeight="1">
      <c r="A5" s="8">
        <v>4.0</v>
      </c>
      <c r="B5" s="8" t="s">
        <v>18</v>
      </c>
      <c r="C5" s="8" t="s">
        <v>128</v>
      </c>
      <c r="D5" s="8">
        <v>4.0</v>
      </c>
      <c r="E5" s="8" t="s">
        <v>133</v>
      </c>
      <c r="F5" s="9"/>
      <c r="G5" s="8" t="s">
        <v>130</v>
      </c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24.0" customHeight="1">
      <c r="A6" s="8">
        <v>5.0</v>
      </c>
      <c r="B6" s="8" t="s">
        <v>39</v>
      </c>
      <c r="C6" s="8" t="s">
        <v>128</v>
      </c>
      <c r="D6" s="8">
        <v>5.0</v>
      </c>
      <c r="E6" s="8" t="s">
        <v>134</v>
      </c>
      <c r="F6" s="9">
        <v>9.0</v>
      </c>
      <c r="G6" s="8" t="s">
        <v>130</v>
      </c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24.0" customHeight="1">
      <c r="A7" s="8">
        <v>6.0</v>
      </c>
      <c r="B7" s="8" t="s">
        <v>29</v>
      </c>
      <c r="C7" s="8" t="s">
        <v>135</v>
      </c>
      <c r="D7" s="8">
        <v>6.0</v>
      </c>
      <c r="E7" s="8" t="s">
        <v>136</v>
      </c>
      <c r="F7" s="9">
        <v>19.0</v>
      </c>
      <c r="G7" s="8" t="s">
        <v>130</v>
      </c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24.0" customHeight="1">
      <c r="A8" s="8">
        <v>7.0</v>
      </c>
      <c r="B8" s="8" t="s">
        <v>43</v>
      </c>
      <c r="C8" s="8" t="s">
        <v>135</v>
      </c>
      <c r="D8" s="8">
        <v>7.0</v>
      </c>
      <c r="E8" s="8" t="s">
        <v>137</v>
      </c>
      <c r="F8" s="9">
        <v>19.0</v>
      </c>
      <c r="G8" s="8" t="s">
        <v>130</v>
      </c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24.0" customHeight="1">
      <c r="A9" s="8"/>
      <c r="B9" s="8"/>
      <c r="C9" s="8"/>
      <c r="D9" s="8"/>
      <c r="E9" s="8"/>
      <c r="F9" s="9" t="s">
        <v>138</v>
      </c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24.0" customHeight="1">
      <c r="A10" s="8"/>
      <c r="B10" s="8"/>
      <c r="C10" s="8"/>
      <c r="D10" s="8"/>
      <c r="E10" s="8"/>
      <c r="F10" s="9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24.0" customHeight="1">
      <c r="A11" s="8"/>
      <c r="B11" s="8"/>
      <c r="C11" s="8"/>
      <c r="D11" s="8"/>
      <c r="E11" s="8"/>
      <c r="F11" s="9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24.0" customHeight="1">
      <c r="A12" s="8"/>
      <c r="B12" s="8"/>
      <c r="C12" s="8"/>
      <c r="D12" s="8"/>
      <c r="E12" s="8"/>
      <c r="F12" s="9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24.0" customHeight="1">
      <c r="A13" s="8"/>
      <c r="B13" s="8"/>
      <c r="C13" s="8"/>
      <c r="D13" s="8"/>
      <c r="E13" s="8"/>
      <c r="F13" s="9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24.0" customHeight="1">
      <c r="A14" s="8"/>
      <c r="B14" s="8"/>
      <c r="C14" s="8"/>
      <c r="D14" s="8"/>
      <c r="E14" s="8"/>
      <c r="F14" s="9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24.0" customHeight="1">
      <c r="A15" s="8"/>
      <c r="B15" s="8"/>
      <c r="C15" s="8"/>
      <c r="D15" s="8"/>
      <c r="E15" s="8"/>
      <c r="F15" s="9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24.0" customHeight="1">
      <c r="A16" s="8"/>
      <c r="B16" s="8"/>
      <c r="C16" s="8"/>
      <c r="D16" s="8"/>
      <c r="E16" s="8"/>
      <c r="F16" s="9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24.0" customHeight="1">
      <c r="A17" s="8"/>
      <c r="B17" s="8"/>
      <c r="C17" s="8"/>
      <c r="D17" s="8"/>
      <c r="E17" s="8"/>
      <c r="F17" s="9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24.0" customHeight="1">
      <c r="A18" s="8"/>
      <c r="B18" s="8"/>
      <c r="C18" s="8"/>
      <c r="D18" s="8"/>
      <c r="E18" s="8"/>
      <c r="F18" s="9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24.0" customHeight="1">
      <c r="A19" s="8"/>
      <c r="B19" s="8"/>
      <c r="C19" s="8"/>
      <c r="D19" s="8"/>
      <c r="E19" s="8"/>
      <c r="F19" s="9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24.0" customHeight="1">
      <c r="A20" s="8"/>
      <c r="B20" s="8"/>
      <c r="C20" s="8"/>
      <c r="D20" s="8"/>
      <c r="E20" s="8"/>
      <c r="F20" s="9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24.0" customHeight="1">
      <c r="A21" s="8"/>
      <c r="B21" s="8"/>
      <c r="C21" s="8"/>
      <c r="D21" s="8"/>
      <c r="E21" s="8"/>
      <c r="F21" s="9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24.0" customHeight="1">
      <c r="A22" s="8"/>
      <c r="B22" s="8"/>
      <c r="C22" s="8"/>
      <c r="D22" s="8"/>
      <c r="E22" s="8"/>
      <c r="F22" s="9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24.0" customHeight="1">
      <c r="A23" s="8"/>
      <c r="B23" s="8"/>
      <c r="C23" s="8"/>
      <c r="D23" s="8"/>
      <c r="E23" s="8"/>
      <c r="F23" s="9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24.0" customHeight="1">
      <c r="A24" s="8"/>
      <c r="B24" s="8"/>
      <c r="C24" s="8"/>
      <c r="D24" s="8"/>
      <c r="E24" s="8"/>
      <c r="F24" s="9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24.0" customHeight="1">
      <c r="A25" s="8"/>
      <c r="B25" s="8"/>
      <c r="C25" s="8"/>
      <c r="D25" s="8"/>
      <c r="E25" s="8"/>
      <c r="F25" s="9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24.0" customHeight="1">
      <c r="A26" s="8"/>
      <c r="B26" s="8"/>
      <c r="C26" s="8"/>
      <c r="D26" s="8"/>
      <c r="E26" s="8"/>
      <c r="F26" s="9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24.0" customHeight="1">
      <c r="A27" s="8"/>
      <c r="B27" s="8"/>
      <c r="C27" s="8"/>
      <c r="D27" s="8"/>
      <c r="E27" s="8"/>
      <c r="F27" s="9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24.0" customHeight="1">
      <c r="A28" s="8"/>
      <c r="B28" s="8"/>
      <c r="C28" s="8"/>
      <c r="D28" s="8"/>
      <c r="E28" s="8"/>
      <c r="F28" s="9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24.0" customHeight="1">
      <c r="A29" s="8"/>
      <c r="B29" s="8"/>
      <c r="C29" s="8"/>
      <c r="D29" s="8"/>
      <c r="E29" s="8"/>
      <c r="F29" s="9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24.0" customHeight="1">
      <c r="A30" s="8"/>
      <c r="B30" s="8"/>
      <c r="C30" s="8"/>
      <c r="D30" s="8"/>
      <c r="E30" s="8"/>
      <c r="F30" s="9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24.0" customHeight="1">
      <c r="A31" s="8"/>
      <c r="B31" s="8"/>
      <c r="C31" s="8"/>
      <c r="D31" s="8"/>
      <c r="E31" s="8"/>
      <c r="F31" s="9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24.0" customHeight="1">
      <c r="A32" s="8"/>
      <c r="B32" s="8"/>
      <c r="C32" s="8"/>
      <c r="D32" s="8"/>
      <c r="E32" s="8"/>
      <c r="F32" s="9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24.0" customHeight="1">
      <c r="A33" s="8"/>
      <c r="B33" s="8"/>
      <c r="C33" s="8"/>
      <c r="D33" s="8"/>
      <c r="E33" s="8"/>
      <c r="F33" s="9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24.0" customHeight="1">
      <c r="A34" s="8"/>
      <c r="B34" s="8"/>
      <c r="C34" s="8"/>
      <c r="D34" s="8"/>
      <c r="E34" s="8"/>
      <c r="F34" s="9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24.0" customHeight="1">
      <c r="A35" s="8"/>
      <c r="B35" s="8"/>
      <c r="C35" s="8"/>
      <c r="D35" s="8"/>
      <c r="E35" s="8"/>
      <c r="F35" s="9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24.0" customHeight="1">
      <c r="A36" s="8"/>
      <c r="B36" s="8"/>
      <c r="C36" s="8"/>
      <c r="D36" s="8"/>
      <c r="E36" s="8"/>
      <c r="F36" s="9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24.0" customHeight="1">
      <c r="A37" s="8"/>
      <c r="B37" s="8"/>
      <c r="C37" s="8"/>
      <c r="D37" s="8"/>
      <c r="E37" s="8"/>
      <c r="F37" s="9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24.0" customHeight="1">
      <c r="A38" s="8"/>
      <c r="B38" s="8"/>
      <c r="C38" s="8"/>
      <c r="D38" s="8"/>
      <c r="E38" s="8"/>
      <c r="F38" s="9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24.0" customHeight="1">
      <c r="A39" s="8"/>
      <c r="B39" s="8"/>
      <c r="C39" s="8"/>
      <c r="D39" s="8"/>
      <c r="E39" s="8"/>
      <c r="F39" s="9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24.0" customHeight="1">
      <c r="A40" s="8"/>
      <c r="B40" s="8"/>
      <c r="C40" s="8"/>
      <c r="D40" s="8"/>
      <c r="E40" s="8"/>
      <c r="F40" s="9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24.0" customHeight="1">
      <c r="A41" s="8"/>
      <c r="B41" s="8"/>
      <c r="C41" s="8"/>
      <c r="D41" s="8"/>
      <c r="E41" s="8"/>
      <c r="F41" s="9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24.0" customHeight="1">
      <c r="A42" s="8"/>
      <c r="B42" s="8"/>
      <c r="C42" s="8"/>
      <c r="D42" s="8"/>
      <c r="E42" s="8"/>
      <c r="F42" s="9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24.0" customHeight="1">
      <c r="A43" s="8"/>
      <c r="B43" s="8"/>
      <c r="C43" s="8"/>
      <c r="D43" s="8"/>
      <c r="E43" s="8"/>
      <c r="F43" s="9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24.0" customHeight="1">
      <c r="A44" s="8"/>
      <c r="B44" s="8"/>
      <c r="C44" s="8"/>
      <c r="D44" s="8"/>
      <c r="E44" s="8"/>
      <c r="F44" s="9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24.0" customHeight="1">
      <c r="A45" s="8"/>
      <c r="B45" s="8"/>
      <c r="C45" s="8"/>
      <c r="D45" s="8"/>
      <c r="E45" s="8"/>
      <c r="F45" s="9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24.0" customHeight="1">
      <c r="A46" s="8"/>
      <c r="B46" s="8"/>
      <c r="C46" s="8"/>
      <c r="D46" s="8"/>
      <c r="E46" s="8"/>
      <c r="F46" s="9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24.0" customHeight="1">
      <c r="A47" s="8"/>
      <c r="B47" s="8"/>
      <c r="C47" s="8"/>
      <c r="D47" s="8"/>
      <c r="E47" s="8"/>
      <c r="F47" s="9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24.0" customHeight="1">
      <c r="A48" s="8"/>
      <c r="B48" s="8"/>
      <c r="C48" s="8"/>
      <c r="D48" s="8"/>
      <c r="E48" s="8"/>
      <c r="F48" s="9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24.0" customHeight="1">
      <c r="A49" s="8"/>
      <c r="B49" s="8"/>
      <c r="C49" s="8"/>
      <c r="D49" s="8"/>
      <c r="E49" s="8"/>
      <c r="F49" s="9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24.0" customHeight="1">
      <c r="A50" s="8"/>
      <c r="B50" s="8"/>
      <c r="C50" s="8"/>
      <c r="D50" s="8"/>
      <c r="E50" s="8"/>
      <c r="F50" s="9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24.0" customHeight="1">
      <c r="A51" s="8"/>
      <c r="B51" s="8"/>
      <c r="C51" s="8"/>
      <c r="D51" s="8"/>
      <c r="E51" s="8"/>
      <c r="F51" s="9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24.0" customHeight="1">
      <c r="A52" s="8"/>
      <c r="B52" s="8"/>
      <c r="C52" s="8"/>
      <c r="D52" s="8"/>
      <c r="E52" s="8"/>
      <c r="F52" s="9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24.0" customHeight="1">
      <c r="A53" s="8"/>
      <c r="B53" s="8"/>
      <c r="C53" s="8"/>
      <c r="D53" s="8"/>
      <c r="E53" s="8"/>
      <c r="F53" s="9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24.0" customHeight="1">
      <c r="A54" s="8"/>
      <c r="B54" s="8"/>
      <c r="C54" s="8"/>
      <c r="D54" s="8"/>
      <c r="E54" s="8"/>
      <c r="F54" s="9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24.0" customHeight="1">
      <c r="A55" s="8"/>
      <c r="B55" s="8"/>
      <c r="C55" s="8"/>
      <c r="D55" s="8"/>
      <c r="E55" s="8"/>
      <c r="F55" s="9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24.0" customHeight="1">
      <c r="A56" s="8"/>
      <c r="B56" s="8"/>
      <c r="C56" s="8"/>
      <c r="D56" s="8"/>
      <c r="E56" s="8"/>
      <c r="F56" s="9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24.0" customHeight="1">
      <c r="A57" s="8"/>
      <c r="B57" s="8"/>
      <c r="C57" s="8"/>
      <c r="D57" s="8"/>
      <c r="E57" s="8"/>
      <c r="F57" s="9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24.0" customHeight="1">
      <c r="A58" s="8"/>
      <c r="B58" s="8"/>
      <c r="C58" s="8"/>
      <c r="D58" s="8"/>
      <c r="E58" s="8"/>
      <c r="F58" s="9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24.0" customHeight="1">
      <c r="A59" s="8"/>
      <c r="B59" s="8"/>
      <c r="C59" s="8"/>
      <c r="D59" s="8"/>
      <c r="E59" s="8"/>
      <c r="F59" s="9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24.0" customHeight="1">
      <c r="A60" s="8"/>
      <c r="B60" s="8"/>
      <c r="C60" s="8"/>
      <c r="D60" s="8"/>
      <c r="E60" s="8"/>
      <c r="F60" s="9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24.0" customHeight="1">
      <c r="A61" s="8"/>
      <c r="B61" s="8"/>
      <c r="C61" s="8"/>
      <c r="D61" s="8"/>
      <c r="E61" s="8"/>
      <c r="F61" s="9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24.0" customHeight="1">
      <c r="A62" s="8"/>
      <c r="B62" s="8"/>
      <c r="C62" s="8"/>
      <c r="D62" s="8"/>
      <c r="E62" s="8"/>
      <c r="F62" s="9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24.0" customHeight="1">
      <c r="A63" s="8"/>
      <c r="B63" s="8"/>
      <c r="C63" s="8"/>
      <c r="D63" s="8"/>
      <c r="E63" s="8"/>
      <c r="F63" s="9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24.0" customHeight="1">
      <c r="A64" s="8"/>
      <c r="B64" s="8"/>
      <c r="C64" s="8"/>
      <c r="D64" s="8"/>
      <c r="E64" s="8"/>
      <c r="F64" s="9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24.0" customHeight="1">
      <c r="A65" s="8"/>
      <c r="B65" s="8"/>
      <c r="C65" s="8"/>
      <c r="D65" s="8"/>
      <c r="E65" s="8"/>
      <c r="F65" s="9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24.0" customHeight="1">
      <c r="A66" s="8"/>
      <c r="B66" s="8"/>
      <c r="C66" s="8"/>
      <c r="D66" s="8"/>
      <c r="E66" s="8"/>
      <c r="F66" s="9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24.0" customHeight="1">
      <c r="A67" s="8"/>
      <c r="B67" s="8"/>
      <c r="C67" s="8"/>
      <c r="D67" s="8"/>
      <c r="E67" s="8"/>
      <c r="F67" s="9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24.0" customHeight="1">
      <c r="A68" s="8"/>
      <c r="B68" s="8"/>
      <c r="C68" s="8"/>
      <c r="D68" s="8"/>
      <c r="E68" s="8"/>
      <c r="F68" s="9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24.0" customHeight="1">
      <c r="A69" s="8"/>
      <c r="B69" s="8"/>
      <c r="C69" s="8"/>
      <c r="D69" s="8"/>
      <c r="E69" s="8"/>
      <c r="F69" s="9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24.0" customHeight="1">
      <c r="A70" s="8"/>
      <c r="B70" s="8"/>
      <c r="C70" s="8"/>
      <c r="D70" s="8"/>
      <c r="E70" s="8"/>
      <c r="F70" s="9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24.0" customHeight="1">
      <c r="A71" s="8"/>
      <c r="B71" s="8"/>
      <c r="C71" s="8"/>
      <c r="D71" s="8"/>
      <c r="E71" s="8"/>
      <c r="F71" s="9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24.0" customHeight="1">
      <c r="A72" s="8"/>
      <c r="B72" s="8"/>
      <c r="C72" s="8"/>
      <c r="D72" s="8"/>
      <c r="E72" s="8"/>
      <c r="F72" s="9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24.0" customHeight="1">
      <c r="A73" s="8"/>
      <c r="B73" s="8"/>
      <c r="C73" s="8"/>
      <c r="D73" s="8"/>
      <c r="E73" s="8"/>
      <c r="F73" s="9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24.0" customHeight="1">
      <c r="A74" s="8"/>
      <c r="B74" s="8"/>
      <c r="C74" s="8"/>
      <c r="D74" s="8"/>
      <c r="E74" s="8"/>
      <c r="F74" s="9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24.0" customHeight="1">
      <c r="A75" s="8"/>
      <c r="B75" s="8"/>
      <c r="C75" s="8"/>
      <c r="D75" s="8"/>
      <c r="E75" s="8"/>
      <c r="F75" s="9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24.0" customHeight="1">
      <c r="A76" s="8"/>
      <c r="B76" s="8"/>
      <c r="C76" s="8"/>
      <c r="D76" s="8"/>
      <c r="E76" s="8"/>
      <c r="F76" s="9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24.0" customHeight="1">
      <c r="A77" s="8"/>
      <c r="B77" s="8"/>
      <c r="C77" s="8"/>
      <c r="D77" s="8"/>
      <c r="E77" s="8"/>
      <c r="F77" s="9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24.0" customHeight="1">
      <c r="A78" s="8"/>
      <c r="B78" s="8"/>
      <c r="C78" s="8"/>
      <c r="D78" s="8"/>
      <c r="E78" s="8"/>
      <c r="F78" s="9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24.0" customHeight="1">
      <c r="A79" s="8"/>
      <c r="B79" s="8"/>
      <c r="C79" s="8"/>
      <c r="D79" s="8"/>
      <c r="E79" s="8"/>
      <c r="F79" s="9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24.0" customHeight="1">
      <c r="A80" s="8"/>
      <c r="B80" s="8"/>
      <c r="C80" s="8"/>
      <c r="D80" s="8"/>
      <c r="E80" s="8"/>
      <c r="F80" s="9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24.0" customHeight="1">
      <c r="A81" s="8"/>
      <c r="B81" s="8"/>
      <c r="C81" s="8"/>
      <c r="D81" s="8"/>
      <c r="E81" s="8"/>
      <c r="F81" s="9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24.0" customHeight="1">
      <c r="A82" s="8"/>
      <c r="B82" s="8"/>
      <c r="C82" s="8"/>
      <c r="D82" s="8"/>
      <c r="E82" s="8"/>
      <c r="F82" s="9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24.0" customHeight="1">
      <c r="A83" s="8"/>
      <c r="B83" s="8"/>
      <c r="C83" s="8"/>
      <c r="D83" s="8"/>
      <c r="E83" s="8"/>
      <c r="F83" s="9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24.0" customHeight="1">
      <c r="A84" s="8"/>
      <c r="B84" s="8"/>
      <c r="C84" s="8"/>
      <c r="D84" s="8"/>
      <c r="E84" s="8"/>
      <c r="F84" s="9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24.0" customHeight="1">
      <c r="A85" s="8"/>
      <c r="B85" s="8"/>
      <c r="C85" s="8"/>
      <c r="D85" s="8"/>
      <c r="E85" s="8"/>
      <c r="F85" s="9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24.0" customHeight="1">
      <c r="A86" s="8"/>
      <c r="B86" s="8"/>
      <c r="C86" s="8"/>
      <c r="D86" s="8"/>
      <c r="E86" s="8"/>
      <c r="F86" s="9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24.0" customHeight="1">
      <c r="A87" s="8"/>
      <c r="B87" s="8"/>
      <c r="C87" s="8"/>
      <c r="D87" s="8"/>
      <c r="E87" s="8"/>
      <c r="F87" s="9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24.0" customHeight="1">
      <c r="A88" s="8"/>
      <c r="B88" s="8"/>
      <c r="C88" s="8"/>
      <c r="D88" s="8"/>
      <c r="E88" s="8"/>
      <c r="F88" s="9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24.0" customHeight="1">
      <c r="A89" s="8"/>
      <c r="B89" s="8"/>
      <c r="C89" s="8"/>
      <c r="D89" s="8"/>
      <c r="E89" s="8"/>
      <c r="F89" s="9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24.0" customHeight="1">
      <c r="A90" s="8"/>
      <c r="B90" s="8"/>
      <c r="C90" s="8"/>
      <c r="D90" s="8"/>
      <c r="E90" s="8"/>
      <c r="F90" s="9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24.0" customHeight="1">
      <c r="A91" s="8"/>
      <c r="B91" s="8"/>
      <c r="C91" s="8"/>
      <c r="D91" s="8"/>
      <c r="E91" s="8"/>
      <c r="F91" s="9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24.0" customHeight="1">
      <c r="A92" s="8"/>
      <c r="B92" s="8"/>
      <c r="C92" s="8"/>
      <c r="D92" s="8"/>
      <c r="E92" s="8"/>
      <c r="F92" s="9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24.0" customHeight="1">
      <c r="A93" s="8"/>
      <c r="B93" s="8"/>
      <c r="C93" s="8"/>
      <c r="D93" s="8"/>
      <c r="E93" s="8"/>
      <c r="F93" s="9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24.0" customHeight="1">
      <c r="A94" s="8"/>
      <c r="B94" s="8"/>
      <c r="C94" s="8"/>
      <c r="D94" s="8"/>
      <c r="E94" s="8"/>
      <c r="F94" s="9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24.0" customHeight="1">
      <c r="A95" s="8"/>
      <c r="B95" s="8"/>
      <c r="C95" s="8"/>
      <c r="D95" s="8"/>
      <c r="E95" s="8"/>
      <c r="F95" s="9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24.0" customHeight="1">
      <c r="A96" s="8"/>
      <c r="B96" s="8"/>
      <c r="C96" s="8"/>
      <c r="D96" s="8"/>
      <c r="E96" s="8"/>
      <c r="F96" s="9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24.0" customHeight="1">
      <c r="A97" s="8"/>
      <c r="B97" s="8"/>
      <c r="C97" s="8"/>
      <c r="D97" s="8"/>
      <c r="E97" s="8"/>
      <c r="F97" s="9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24.0" customHeight="1">
      <c r="A98" s="8"/>
      <c r="B98" s="8"/>
      <c r="C98" s="8"/>
      <c r="D98" s="8"/>
      <c r="E98" s="8"/>
      <c r="F98" s="9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24.0" customHeight="1">
      <c r="A99" s="8"/>
      <c r="B99" s="8"/>
      <c r="C99" s="8"/>
      <c r="D99" s="8"/>
      <c r="E99" s="8"/>
      <c r="F99" s="9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24.0" customHeight="1">
      <c r="A100" s="8"/>
      <c r="B100" s="8"/>
      <c r="C100" s="8"/>
      <c r="D100" s="8"/>
      <c r="E100" s="8"/>
      <c r="F100" s="9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24.0" customHeight="1">
      <c r="A101" s="8"/>
      <c r="B101" s="8"/>
      <c r="C101" s="8"/>
      <c r="D101" s="8"/>
      <c r="E101" s="8"/>
      <c r="F101" s="9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24.0" customHeight="1">
      <c r="A102" s="8"/>
      <c r="B102" s="8"/>
      <c r="C102" s="8"/>
      <c r="D102" s="8"/>
      <c r="E102" s="8"/>
      <c r="F102" s="9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24.0" customHeight="1">
      <c r="A103" s="8"/>
      <c r="B103" s="8"/>
      <c r="C103" s="8"/>
      <c r="D103" s="8"/>
      <c r="E103" s="8"/>
      <c r="F103" s="9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24.0" customHeight="1">
      <c r="A104" s="8"/>
      <c r="B104" s="8"/>
      <c r="C104" s="8"/>
      <c r="D104" s="8"/>
      <c r="E104" s="8"/>
      <c r="F104" s="9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24.0" customHeight="1">
      <c r="A105" s="8"/>
      <c r="B105" s="8"/>
      <c r="C105" s="8"/>
      <c r="D105" s="8"/>
      <c r="E105" s="8"/>
      <c r="F105" s="9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24.0" customHeight="1">
      <c r="A106" s="8"/>
      <c r="B106" s="8"/>
      <c r="C106" s="8"/>
      <c r="D106" s="8"/>
      <c r="E106" s="8"/>
      <c r="F106" s="9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24.0" customHeight="1">
      <c r="A107" s="8"/>
      <c r="B107" s="8"/>
      <c r="C107" s="8"/>
      <c r="D107" s="8"/>
      <c r="E107" s="8"/>
      <c r="F107" s="9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24.0" customHeight="1">
      <c r="A108" s="8"/>
      <c r="B108" s="8"/>
      <c r="C108" s="8"/>
      <c r="D108" s="8"/>
      <c r="E108" s="8"/>
      <c r="F108" s="9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24.0" customHeight="1">
      <c r="A109" s="8"/>
      <c r="B109" s="8"/>
      <c r="C109" s="8"/>
      <c r="D109" s="8"/>
      <c r="E109" s="8"/>
      <c r="F109" s="9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24.0" customHeight="1">
      <c r="A110" s="8"/>
      <c r="B110" s="8"/>
      <c r="C110" s="8"/>
      <c r="D110" s="8"/>
      <c r="E110" s="8"/>
      <c r="F110" s="9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24.0" customHeight="1">
      <c r="A111" s="8"/>
      <c r="B111" s="8"/>
      <c r="C111" s="8"/>
      <c r="D111" s="8"/>
      <c r="E111" s="8"/>
      <c r="F111" s="9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24.0" customHeight="1">
      <c r="A112" s="8"/>
      <c r="B112" s="8"/>
      <c r="C112" s="8"/>
      <c r="D112" s="8"/>
      <c r="E112" s="8"/>
      <c r="F112" s="9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24.0" customHeight="1">
      <c r="A113" s="8"/>
      <c r="B113" s="8"/>
      <c r="C113" s="8"/>
      <c r="D113" s="8"/>
      <c r="E113" s="8"/>
      <c r="F113" s="9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24.0" customHeight="1">
      <c r="A114" s="8"/>
      <c r="B114" s="8"/>
      <c r="C114" s="8"/>
      <c r="D114" s="8"/>
      <c r="E114" s="8"/>
      <c r="F114" s="9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24.0" customHeight="1">
      <c r="A115" s="8"/>
      <c r="B115" s="8"/>
      <c r="C115" s="8"/>
      <c r="D115" s="8"/>
      <c r="E115" s="8"/>
      <c r="F115" s="9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24.0" customHeight="1">
      <c r="A116" s="8"/>
      <c r="B116" s="8"/>
      <c r="C116" s="8"/>
      <c r="D116" s="8"/>
      <c r="E116" s="8"/>
      <c r="F116" s="9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24.0" customHeight="1">
      <c r="A117" s="8"/>
      <c r="B117" s="8"/>
      <c r="C117" s="8"/>
      <c r="D117" s="8"/>
      <c r="E117" s="8"/>
      <c r="F117" s="9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24.0" customHeight="1">
      <c r="A118" s="8"/>
      <c r="B118" s="8"/>
      <c r="C118" s="8"/>
      <c r="D118" s="8"/>
      <c r="E118" s="8"/>
      <c r="F118" s="9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24.0" customHeight="1">
      <c r="A119" s="8"/>
      <c r="B119" s="8"/>
      <c r="C119" s="8"/>
      <c r="D119" s="8"/>
      <c r="E119" s="8"/>
      <c r="F119" s="9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24.0" customHeight="1">
      <c r="A120" s="8"/>
      <c r="B120" s="8"/>
      <c r="C120" s="8"/>
      <c r="D120" s="8"/>
      <c r="E120" s="8"/>
      <c r="F120" s="9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24.0" customHeight="1">
      <c r="A121" s="8"/>
      <c r="B121" s="8"/>
      <c r="C121" s="8"/>
      <c r="D121" s="8"/>
      <c r="E121" s="8"/>
      <c r="F121" s="9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24.0" customHeight="1">
      <c r="A122" s="8"/>
      <c r="B122" s="8"/>
      <c r="C122" s="8"/>
      <c r="D122" s="8"/>
      <c r="E122" s="8"/>
      <c r="F122" s="9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24.0" customHeight="1">
      <c r="A123" s="8"/>
      <c r="B123" s="8"/>
      <c r="C123" s="8"/>
      <c r="D123" s="8"/>
      <c r="E123" s="8"/>
      <c r="F123" s="9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24.0" customHeight="1">
      <c r="A124" s="8"/>
      <c r="B124" s="8"/>
      <c r="C124" s="8"/>
      <c r="D124" s="8"/>
      <c r="E124" s="8"/>
      <c r="F124" s="9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24.0" customHeight="1">
      <c r="A125" s="8"/>
      <c r="B125" s="8"/>
      <c r="C125" s="8"/>
      <c r="D125" s="8"/>
      <c r="E125" s="8"/>
      <c r="F125" s="9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24.0" customHeight="1">
      <c r="A126" s="8"/>
      <c r="B126" s="8"/>
      <c r="C126" s="8"/>
      <c r="D126" s="8"/>
      <c r="E126" s="8"/>
      <c r="F126" s="9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24.0" customHeight="1">
      <c r="A127" s="8"/>
      <c r="B127" s="8"/>
      <c r="C127" s="8"/>
      <c r="D127" s="8"/>
      <c r="E127" s="8"/>
      <c r="F127" s="9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24.0" customHeight="1">
      <c r="A128" s="8"/>
      <c r="B128" s="8"/>
      <c r="C128" s="8"/>
      <c r="D128" s="8"/>
      <c r="E128" s="8"/>
      <c r="F128" s="9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24.0" customHeight="1">
      <c r="A129" s="8"/>
      <c r="B129" s="8"/>
      <c r="C129" s="8"/>
      <c r="D129" s="8"/>
      <c r="E129" s="8"/>
      <c r="F129" s="9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24.0" customHeight="1">
      <c r="A130" s="8"/>
      <c r="B130" s="8"/>
      <c r="C130" s="8"/>
      <c r="D130" s="8"/>
      <c r="E130" s="8"/>
      <c r="F130" s="9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24.0" customHeight="1">
      <c r="A131" s="8"/>
      <c r="B131" s="8"/>
      <c r="C131" s="8"/>
      <c r="D131" s="8"/>
      <c r="E131" s="8"/>
      <c r="F131" s="9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24.0" customHeight="1">
      <c r="A132" s="8"/>
      <c r="B132" s="8"/>
      <c r="C132" s="8"/>
      <c r="D132" s="8"/>
      <c r="E132" s="8"/>
      <c r="F132" s="9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24.0" customHeight="1">
      <c r="A133" s="8"/>
      <c r="B133" s="8"/>
      <c r="C133" s="8"/>
      <c r="D133" s="8"/>
      <c r="E133" s="8"/>
      <c r="F133" s="9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24.0" customHeight="1">
      <c r="A134" s="8"/>
      <c r="B134" s="8"/>
      <c r="C134" s="8"/>
      <c r="D134" s="8"/>
      <c r="E134" s="8"/>
      <c r="F134" s="9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24.0" customHeight="1">
      <c r="A135" s="8"/>
      <c r="B135" s="8"/>
      <c r="C135" s="8"/>
      <c r="D135" s="8"/>
      <c r="E135" s="8"/>
      <c r="F135" s="9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24.0" customHeight="1">
      <c r="A136" s="8"/>
      <c r="B136" s="8"/>
      <c r="C136" s="8"/>
      <c r="D136" s="8"/>
      <c r="E136" s="8"/>
      <c r="F136" s="9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24.0" customHeight="1">
      <c r="A137" s="8"/>
      <c r="B137" s="8"/>
      <c r="C137" s="8"/>
      <c r="D137" s="8"/>
      <c r="E137" s="8"/>
      <c r="F137" s="9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24.0" customHeight="1">
      <c r="A138" s="8"/>
      <c r="B138" s="8"/>
      <c r="C138" s="8"/>
      <c r="D138" s="8"/>
      <c r="E138" s="8"/>
      <c r="F138" s="9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24.0" customHeight="1">
      <c r="A139" s="8"/>
      <c r="B139" s="8"/>
      <c r="C139" s="8"/>
      <c r="D139" s="8"/>
      <c r="E139" s="8"/>
      <c r="F139" s="9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24.0" customHeight="1">
      <c r="A140" s="8"/>
      <c r="B140" s="8"/>
      <c r="C140" s="8"/>
      <c r="D140" s="8"/>
      <c r="E140" s="8"/>
      <c r="F140" s="9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24.0" customHeight="1">
      <c r="A141" s="8"/>
      <c r="B141" s="8"/>
      <c r="C141" s="8"/>
      <c r="D141" s="8"/>
      <c r="E141" s="8"/>
      <c r="F141" s="9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24.0" customHeight="1">
      <c r="A142" s="8"/>
      <c r="B142" s="8"/>
      <c r="C142" s="8"/>
      <c r="D142" s="8"/>
      <c r="E142" s="8"/>
      <c r="F142" s="9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24.0" customHeight="1">
      <c r="A143" s="8"/>
      <c r="B143" s="8"/>
      <c r="C143" s="8"/>
      <c r="D143" s="8"/>
      <c r="E143" s="8"/>
      <c r="F143" s="9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24.0" customHeight="1">
      <c r="A144" s="8"/>
      <c r="B144" s="8"/>
      <c r="C144" s="8"/>
      <c r="D144" s="8"/>
      <c r="E144" s="8"/>
      <c r="F144" s="9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24.0" customHeight="1">
      <c r="A145" s="8"/>
      <c r="B145" s="8"/>
      <c r="C145" s="8"/>
      <c r="D145" s="8"/>
      <c r="E145" s="8"/>
      <c r="F145" s="9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24.0" customHeight="1">
      <c r="A146" s="8"/>
      <c r="B146" s="8"/>
      <c r="C146" s="8"/>
      <c r="D146" s="8"/>
      <c r="E146" s="8"/>
      <c r="F146" s="9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24.0" customHeight="1">
      <c r="A147" s="8"/>
      <c r="B147" s="8"/>
      <c r="C147" s="8"/>
      <c r="D147" s="8"/>
      <c r="E147" s="8"/>
      <c r="F147" s="9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24.0" customHeight="1">
      <c r="A148" s="8"/>
      <c r="B148" s="8"/>
      <c r="C148" s="8"/>
      <c r="D148" s="8"/>
      <c r="E148" s="8"/>
      <c r="F148" s="9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24.0" customHeight="1">
      <c r="A149" s="8"/>
      <c r="B149" s="8"/>
      <c r="C149" s="8"/>
      <c r="D149" s="8"/>
      <c r="E149" s="8"/>
      <c r="F149" s="9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24.0" customHeight="1">
      <c r="A150" s="8"/>
      <c r="B150" s="8"/>
      <c r="C150" s="8"/>
      <c r="D150" s="8"/>
      <c r="E150" s="8"/>
      <c r="F150" s="9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24.0" customHeight="1">
      <c r="A151" s="8"/>
      <c r="B151" s="8"/>
      <c r="C151" s="8"/>
      <c r="D151" s="8"/>
      <c r="E151" s="8"/>
      <c r="F151" s="9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24.0" customHeight="1">
      <c r="A152" s="8"/>
      <c r="B152" s="8"/>
      <c r="C152" s="8"/>
      <c r="D152" s="8"/>
      <c r="E152" s="8"/>
      <c r="F152" s="9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24.0" customHeight="1">
      <c r="A153" s="8"/>
      <c r="B153" s="8"/>
      <c r="C153" s="8"/>
      <c r="D153" s="8"/>
      <c r="E153" s="8"/>
      <c r="F153" s="9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24.0" customHeight="1">
      <c r="A154" s="8"/>
      <c r="B154" s="8"/>
      <c r="C154" s="8"/>
      <c r="D154" s="8"/>
      <c r="E154" s="8"/>
      <c r="F154" s="9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24.0" customHeight="1">
      <c r="A155" s="8"/>
      <c r="B155" s="8"/>
      <c r="C155" s="8"/>
      <c r="D155" s="8"/>
      <c r="E155" s="8"/>
      <c r="F155" s="9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24.0" customHeight="1">
      <c r="A156" s="8"/>
      <c r="B156" s="8"/>
      <c r="C156" s="8"/>
      <c r="D156" s="8"/>
      <c r="E156" s="8"/>
      <c r="F156" s="9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24.0" customHeight="1">
      <c r="A157" s="8"/>
      <c r="B157" s="8"/>
      <c r="C157" s="8"/>
      <c r="D157" s="8"/>
      <c r="E157" s="8"/>
      <c r="F157" s="9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24.0" customHeight="1">
      <c r="A158" s="8"/>
      <c r="B158" s="8"/>
      <c r="C158" s="8"/>
      <c r="D158" s="8"/>
      <c r="E158" s="8"/>
      <c r="F158" s="9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24.0" customHeight="1">
      <c r="A159" s="8"/>
      <c r="B159" s="8"/>
      <c r="C159" s="8"/>
      <c r="D159" s="8"/>
      <c r="E159" s="8"/>
      <c r="F159" s="9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24.0" customHeight="1">
      <c r="A160" s="8"/>
      <c r="B160" s="8"/>
      <c r="C160" s="8"/>
      <c r="D160" s="8"/>
      <c r="E160" s="8"/>
      <c r="F160" s="9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24.0" customHeight="1">
      <c r="A161" s="8"/>
      <c r="B161" s="8"/>
      <c r="C161" s="8"/>
      <c r="D161" s="8"/>
      <c r="E161" s="8"/>
      <c r="F161" s="9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24.0" customHeight="1">
      <c r="A162" s="8"/>
      <c r="B162" s="8"/>
      <c r="C162" s="8"/>
      <c r="D162" s="8"/>
      <c r="E162" s="8"/>
      <c r="F162" s="9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24.0" customHeight="1">
      <c r="A163" s="8"/>
      <c r="B163" s="8"/>
      <c r="C163" s="8"/>
      <c r="D163" s="8"/>
      <c r="E163" s="8"/>
      <c r="F163" s="9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24.0" customHeight="1">
      <c r="A164" s="8"/>
      <c r="B164" s="8"/>
      <c r="C164" s="8"/>
      <c r="D164" s="8"/>
      <c r="E164" s="8"/>
      <c r="F164" s="9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24.0" customHeight="1">
      <c r="A165" s="8"/>
      <c r="B165" s="8"/>
      <c r="C165" s="8"/>
      <c r="D165" s="8"/>
      <c r="E165" s="8"/>
      <c r="F165" s="9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24.0" customHeight="1">
      <c r="A166" s="8"/>
      <c r="B166" s="8"/>
      <c r="C166" s="8"/>
      <c r="D166" s="8"/>
      <c r="E166" s="8"/>
      <c r="F166" s="9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24.0" customHeight="1">
      <c r="A167" s="8"/>
      <c r="B167" s="8"/>
      <c r="C167" s="8"/>
      <c r="D167" s="8"/>
      <c r="E167" s="8"/>
      <c r="F167" s="9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24.0" customHeight="1">
      <c r="A168" s="8"/>
      <c r="B168" s="8"/>
      <c r="C168" s="8"/>
      <c r="D168" s="8"/>
      <c r="E168" s="8"/>
      <c r="F168" s="9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24.0" customHeight="1">
      <c r="A169" s="8"/>
      <c r="B169" s="8"/>
      <c r="C169" s="8"/>
      <c r="D169" s="8"/>
      <c r="E169" s="8"/>
      <c r="F169" s="9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24.0" customHeight="1">
      <c r="A170" s="8"/>
      <c r="B170" s="8"/>
      <c r="C170" s="8"/>
      <c r="D170" s="8"/>
      <c r="E170" s="8"/>
      <c r="F170" s="9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24.0" customHeight="1">
      <c r="A171" s="8"/>
      <c r="B171" s="8"/>
      <c r="C171" s="8"/>
      <c r="D171" s="8"/>
      <c r="E171" s="8"/>
      <c r="F171" s="9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24.0" customHeight="1">
      <c r="A172" s="8"/>
      <c r="B172" s="8"/>
      <c r="C172" s="8"/>
      <c r="D172" s="8"/>
      <c r="E172" s="8"/>
      <c r="F172" s="9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24.0" customHeight="1">
      <c r="A173" s="8"/>
      <c r="B173" s="8"/>
      <c r="C173" s="8"/>
      <c r="D173" s="8"/>
      <c r="E173" s="8"/>
      <c r="F173" s="9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24.0" customHeight="1">
      <c r="A174" s="8"/>
      <c r="B174" s="8"/>
      <c r="C174" s="8"/>
      <c r="D174" s="8"/>
      <c r="E174" s="8"/>
      <c r="F174" s="9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24.0" customHeight="1">
      <c r="A175" s="8"/>
      <c r="B175" s="8"/>
      <c r="C175" s="8"/>
      <c r="D175" s="8"/>
      <c r="E175" s="8"/>
      <c r="F175" s="9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24.0" customHeight="1">
      <c r="A176" s="8"/>
      <c r="B176" s="8"/>
      <c r="C176" s="8"/>
      <c r="D176" s="8"/>
      <c r="E176" s="8"/>
      <c r="F176" s="9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24.0" customHeight="1">
      <c r="A177" s="8"/>
      <c r="B177" s="8"/>
      <c r="C177" s="8"/>
      <c r="D177" s="8"/>
      <c r="E177" s="8"/>
      <c r="F177" s="9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24.0" customHeight="1">
      <c r="A178" s="8"/>
      <c r="B178" s="8"/>
      <c r="C178" s="8"/>
      <c r="D178" s="8"/>
      <c r="E178" s="8"/>
      <c r="F178" s="9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24.0" customHeight="1">
      <c r="A179" s="8"/>
      <c r="B179" s="8"/>
      <c r="C179" s="8"/>
      <c r="D179" s="8"/>
      <c r="E179" s="8"/>
      <c r="F179" s="9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24.0" customHeight="1">
      <c r="A180" s="8"/>
      <c r="B180" s="8"/>
      <c r="C180" s="8"/>
      <c r="D180" s="8"/>
      <c r="E180" s="8"/>
      <c r="F180" s="9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24.0" customHeight="1">
      <c r="A181" s="8"/>
      <c r="B181" s="8"/>
      <c r="C181" s="8"/>
      <c r="D181" s="8"/>
      <c r="E181" s="8"/>
      <c r="F181" s="9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24.0" customHeight="1">
      <c r="A182" s="8"/>
      <c r="B182" s="8"/>
      <c r="C182" s="8"/>
      <c r="D182" s="8"/>
      <c r="E182" s="8"/>
      <c r="F182" s="9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24.0" customHeight="1">
      <c r="A183" s="8"/>
      <c r="B183" s="8"/>
      <c r="C183" s="8"/>
      <c r="D183" s="8"/>
      <c r="E183" s="8"/>
      <c r="F183" s="9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24.0" customHeight="1">
      <c r="A184" s="8"/>
      <c r="B184" s="8"/>
      <c r="C184" s="8"/>
      <c r="D184" s="8"/>
      <c r="E184" s="8"/>
      <c r="F184" s="9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24.0" customHeight="1">
      <c r="A185" s="8"/>
      <c r="B185" s="8"/>
      <c r="C185" s="8"/>
      <c r="D185" s="8"/>
      <c r="E185" s="8"/>
      <c r="F185" s="9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24.0" customHeight="1">
      <c r="A186" s="8"/>
      <c r="B186" s="8"/>
      <c r="C186" s="8"/>
      <c r="D186" s="8"/>
      <c r="E186" s="8"/>
      <c r="F186" s="9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24.0" customHeight="1">
      <c r="A187" s="8"/>
      <c r="B187" s="8"/>
      <c r="C187" s="8"/>
      <c r="D187" s="8"/>
      <c r="E187" s="8"/>
      <c r="F187" s="9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24.0" customHeight="1">
      <c r="A188" s="8"/>
      <c r="B188" s="8"/>
      <c r="C188" s="8"/>
      <c r="D188" s="8"/>
      <c r="E188" s="8"/>
      <c r="F188" s="9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24.0" customHeight="1">
      <c r="A189" s="8"/>
      <c r="B189" s="8"/>
      <c r="C189" s="8"/>
      <c r="D189" s="8"/>
      <c r="E189" s="8"/>
      <c r="F189" s="9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24.0" customHeight="1">
      <c r="A190" s="8"/>
      <c r="B190" s="8"/>
      <c r="C190" s="8"/>
      <c r="D190" s="8"/>
      <c r="E190" s="8"/>
      <c r="F190" s="9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24.0" customHeight="1">
      <c r="A191" s="8"/>
      <c r="B191" s="8"/>
      <c r="C191" s="8"/>
      <c r="D191" s="8"/>
      <c r="E191" s="8"/>
      <c r="F191" s="9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24.0" customHeight="1">
      <c r="A192" s="8"/>
      <c r="B192" s="8"/>
      <c r="C192" s="8"/>
      <c r="D192" s="8"/>
      <c r="E192" s="8"/>
      <c r="F192" s="9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24.0" customHeight="1">
      <c r="A193" s="8"/>
      <c r="B193" s="8"/>
      <c r="C193" s="8"/>
      <c r="D193" s="8"/>
      <c r="E193" s="8"/>
      <c r="F193" s="9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24.0" customHeight="1">
      <c r="A194" s="8"/>
      <c r="B194" s="8"/>
      <c r="C194" s="8"/>
      <c r="D194" s="8"/>
      <c r="E194" s="8"/>
      <c r="F194" s="9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24.0" customHeight="1">
      <c r="A195" s="8"/>
      <c r="B195" s="8"/>
      <c r="C195" s="8"/>
      <c r="D195" s="8"/>
      <c r="E195" s="8"/>
      <c r="F195" s="9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24.0" customHeight="1">
      <c r="A196" s="8"/>
      <c r="B196" s="8"/>
      <c r="C196" s="8"/>
      <c r="D196" s="8"/>
      <c r="E196" s="8"/>
      <c r="F196" s="9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24.0" customHeight="1">
      <c r="A197" s="8"/>
      <c r="B197" s="8"/>
      <c r="C197" s="8"/>
      <c r="D197" s="8"/>
      <c r="E197" s="8"/>
      <c r="F197" s="9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24.0" customHeight="1">
      <c r="A198" s="8"/>
      <c r="B198" s="8"/>
      <c r="C198" s="8"/>
      <c r="D198" s="8"/>
      <c r="E198" s="8"/>
      <c r="F198" s="9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24.0" customHeight="1">
      <c r="A199" s="8"/>
      <c r="B199" s="8"/>
      <c r="C199" s="8"/>
      <c r="D199" s="8"/>
      <c r="E199" s="8"/>
      <c r="F199" s="9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24.0" customHeight="1">
      <c r="A200" s="8"/>
      <c r="B200" s="8"/>
      <c r="C200" s="8"/>
      <c r="D200" s="8"/>
      <c r="E200" s="8"/>
      <c r="F200" s="9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24.0" customHeight="1">
      <c r="A201" s="8"/>
      <c r="B201" s="8"/>
      <c r="C201" s="8"/>
      <c r="D201" s="8"/>
      <c r="E201" s="8"/>
      <c r="F201" s="9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24.0" customHeight="1">
      <c r="A202" s="8"/>
      <c r="B202" s="8"/>
      <c r="C202" s="8"/>
      <c r="D202" s="8"/>
      <c r="E202" s="8"/>
      <c r="F202" s="9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24.0" customHeight="1">
      <c r="A203" s="8"/>
      <c r="B203" s="8"/>
      <c r="C203" s="8"/>
      <c r="D203" s="8"/>
      <c r="E203" s="8"/>
      <c r="F203" s="9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24.0" customHeight="1">
      <c r="A204" s="8"/>
      <c r="B204" s="8"/>
      <c r="C204" s="8"/>
      <c r="D204" s="8"/>
      <c r="E204" s="8"/>
      <c r="F204" s="9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24.0" customHeight="1">
      <c r="A205" s="8"/>
      <c r="B205" s="8"/>
      <c r="C205" s="8"/>
      <c r="D205" s="8"/>
      <c r="E205" s="8"/>
      <c r="F205" s="9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24.0" customHeight="1">
      <c r="A206" s="8"/>
      <c r="B206" s="8"/>
      <c r="C206" s="8"/>
      <c r="D206" s="8"/>
      <c r="E206" s="8"/>
      <c r="F206" s="9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24.0" customHeight="1">
      <c r="A207" s="8"/>
      <c r="B207" s="8"/>
      <c r="C207" s="8"/>
      <c r="D207" s="8"/>
      <c r="E207" s="8"/>
      <c r="F207" s="9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24.0" customHeight="1">
      <c r="A208" s="8"/>
      <c r="B208" s="8"/>
      <c r="C208" s="8"/>
      <c r="D208" s="8"/>
      <c r="E208" s="8"/>
      <c r="F208" s="9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24.0" customHeight="1">
      <c r="A209" s="8"/>
      <c r="B209" s="8"/>
      <c r="C209" s="8"/>
      <c r="D209" s="8"/>
      <c r="E209" s="8"/>
      <c r="F209" s="9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24.0" customHeight="1">
      <c r="A210" s="8"/>
      <c r="B210" s="8"/>
      <c r="C210" s="8"/>
      <c r="D210" s="8"/>
      <c r="E210" s="8"/>
      <c r="F210" s="9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24.0" customHeight="1">
      <c r="A211" s="8"/>
      <c r="B211" s="8"/>
      <c r="C211" s="8"/>
      <c r="D211" s="8"/>
      <c r="E211" s="8"/>
      <c r="F211" s="9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24.0" customHeight="1">
      <c r="A212" s="8"/>
      <c r="B212" s="8"/>
      <c r="C212" s="8"/>
      <c r="D212" s="8"/>
      <c r="E212" s="8"/>
      <c r="F212" s="9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24.0" customHeight="1">
      <c r="A213" s="8"/>
      <c r="B213" s="8"/>
      <c r="C213" s="8"/>
      <c r="D213" s="8"/>
      <c r="E213" s="8"/>
      <c r="F213" s="9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24.0" customHeight="1">
      <c r="A214" s="8"/>
      <c r="B214" s="8"/>
      <c r="C214" s="8"/>
      <c r="D214" s="8"/>
      <c r="E214" s="8"/>
      <c r="F214" s="9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24.0" customHeight="1">
      <c r="A215" s="8"/>
      <c r="B215" s="8"/>
      <c r="C215" s="8"/>
      <c r="D215" s="8"/>
      <c r="E215" s="8"/>
      <c r="F215" s="9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24.0" customHeight="1">
      <c r="A216" s="8"/>
      <c r="B216" s="8"/>
      <c r="C216" s="8"/>
      <c r="D216" s="8"/>
      <c r="E216" s="8"/>
      <c r="F216" s="9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24.0" customHeight="1">
      <c r="A217" s="8"/>
      <c r="B217" s="8"/>
      <c r="C217" s="8"/>
      <c r="D217" s="8"/>
      <c r="E217" s="8"/>
      <c r="F217" s="9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24.0" customHeight="1">
      <c r="A218" s="8"/>
      <c r="B218" s="8"/>
      <c r="C218" s="8"/>
      <c r="D218" s="8"/>
      <c r="E218" s="8"/>
      <c r="F218" s="9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24.0" customHeight="1">
      <c r="A219" s="8"/>
      <c r="B219" s="8"/>
      <c r="C219" s="8"/>
      <c r="D219" s="8"/>
      <c r="E219" s="8"/>
      <c r="F219" s="9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24.0" customHeight="1">
      <c r="A220" s="8"/>
      <c r="B220" s="8"/>
      <c r="C220" s="8"/>
      <c r="D220" s="8"/>
      <c r="E220" s="8"/>
      <c r="F220" s="9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24.0" customHeight="1">
      <c r="A221" s="8"/>
      <c r="B221" s="8"/>
      <c r="C221" s="8"/>
      <c r="D221" s="8"/>
      <c r="E221" s="8"/>
      <c r="F221" s="9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24.0" customHeight="1">
      <c r="A222" s="8"/>
      <c r="B222" s="8"/>
      <c r="C222" s="8"/>
      <c r="D222" s="8"/>
      <c r="E222" s="8"/>
      <c r="F222" s="9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24.0" customHeight="1">
      <c r="A223" s="8"/>
      <c r="B223" s="8"/>
      <c r="C223" s="8"/>
      <c r="D223" s="8"/>
      <c r="E223" s="8"/>
      <c r="F223" s="9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24.0" customHeight="1">
      <c r="A224" s="8"/>
      <c r="B224" s="8"/>
      <c r="C224" s="8"/>
      <c r="D224" s="8"/>
      <c r="E224" s="8"/>
      <c r="F224" s="9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24.0" customHeight="1">
      <c r="A225" s="8"/>
      <c r="B225" s="8"/>
      <c r="C225" s="8"/>
      <c r="D225" s="8"/>
      <c r="E225" s="8"/>
      <c r="F225" s="9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24.0" customHeight="1">
      <c r="A226" s="8"/>
      <c r="B226" s="8"/>
      <c r="C226" s="8"/>
      <c r="D226" s="8"/>
      <c r="E226" s="8"/>
      <c r="F226" s="9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24.0" customHeight="1">
      <c r="A227" s="8"/>
      <c r="B227" s="8"/>
      <c r="C227" s="8"/>
      <c r="D227" s="8"/>
      <c r="E227" s="8"/>
      <c r="F227" s="9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24.0" customHeight="1">
      <c r="A228" s="8"/>
      <c r="B228" s="8"/>
      <c r="C228" s="8"/>
      <c r="D228" s="8"/>
      <c r="E228" s="8"/>
      <c r="F228" s="9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24.0" customHeight="1">
      <c r="A229" s="8"/>
      <c r="B229" s="8"/>
      <c r="C229" s="8"/>
      <c r="D229" s="8"/>
      <c r="E229" s="8"/>
      <c r="F229" s="9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24.0" customHeight="1">
      <c r="A230" s="8"/>
      <c r="B230" s="8"/>
      <c r="C230" s="8"/>
      <c r="D230" s="8"/>
      <c r="E230" s="8"/>
      <c r="F230" s="9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24.0" customHeight="1">
      <c r="A231" s="8"/>
      <c r="B231" s="8"/>
      <c r="C231" s="8"/>
      <c r="D231" s="8"/>
      <c r="E231" s="8"/>
      <c r="F231" s="9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24.0" customHeight="1">
      <c r="A232" s="8"/>
      <c r="B232" s="8"/>
      <c r="C232" s="8"/>
      <c r="D232" s="8"/>
      <c r="E232" s="8"/>
      <c r="F232" s="9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24.0" customHeight="1">
      <c r="A233" s="8"/>
      <c r="B233" s="8"/>
      <c r="C233" s="8"/>
      <c r="D233" s="8"/>
      <c r="E233" s="8"/>
      <c r="F233" s="9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24.0" customHeight="1">
      <c r="A234" s="8"/>
      <c r="B234" s="8"/>
      <c r="C234" s="8"/>
      <c r="D234" s="8"/>
      <c r="E234" s="8"/>
      <c r="F234" s="9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24.0" customHeight="1">
      <c r="A235" s="8"/>
      <c r="B235" s="8"/>
      <c r="C235" s="8"/>
      <c r="D235" s="8"/>
      <c r="E235" s="8"/>
      <c r="F235" s="9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24.0" customHeight="1">
      <c r="A236" s="8"/>
      <c r="B236" s="8"/>
      <c r="C236" s="8"/>
      <c r="D236" s="8"/>
      <c r="E236" s="8"/>
      <c r="F236" s="9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24.0" customHeight="1">
      <c r="A237" s="8"/>
      <c r="B237" s="8"/>
      <c r="C237" s="8"/>
      <c r="D237" s="8"/>
      <c r="E237" s="8"/>
      <c r="F237" s="9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24.0" customHeight="1">
      <c r="A238" s="8"/>
      <c r="B238" s="8"/>
      <c r="C238" s="8"/>
      <c r="D238" s="8"/>
      <c r="E238" s="8"/>
      <c r="F238" s="9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24.0" customHeight="1">
      <c r="A239" s="8"/>
      <c r="B239" s="8"/>
      <c r="C239" s="8"/>
      <c r="D239" s="8"/>
      <c r="E239" s="8"/>
      <c r="F239" s="9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24.0" customHeight="1">
      <c r="A240" s="8"/>
      <c r="B240" s="8"/>
      <c r="C240" s="8"/>
      <c r="D240" s="8"/>
      <c r="E240" s="8"/>
      <c r="F240" s="9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24.0" customHeight="1">
      <c r="A241" s="8"/>
      <c r="B241" s="8"/>
      <c r="C241" s="8"/>
      <c r="D241" s="8"/>
      <c r="E241" s="8"/>
      <c r="F241" s="9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24.0" customHeight="1">
      <c r="A242" s="8"/>
      <c r="B242" s="8"/>
      <c r="C242" s="8"/>
      <c r="D242" s="8"/>
      <c r="E242" s="8"/>
      <c r="F242" s="9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24.0" customHeight="1">
      <c r="A243" s="8"/>
      <c r="B243" s="8"/>
      <c r="C243" s="8"/>
      <c r="D243" s="8"/>
      <c r="E243" s="8"/>
      <c r="F243" s="9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24.0" customHeight="1">
      <c r="A244" s="8"/>
      <c r="B244" s="8"/>
      <c r="C244" s="8"/>
      <c r="D244" s="8"/>
      <c r="E244" s="8"/>
      <c r="F244" s="9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24.0" customHeight="1">
      <c r="A245" s="8"/>
      <c r="B245" s="8"/>
      <c r="C245" s="8"/>
      <c r="D245" s="8"/>
      <c r="E245" s="8"/>
      <c r="F245" s="9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24.0" customHeight="1">
      <c r="A246" s="8"/>
      <c r="B246" s="8"/>
      <c r="C246" s="8"/>
      <c r="D246" s="8"/>
      <c r="E246" s="8"/>
      <c r="F246" s="9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24.0" customHeight="1">
      <c r="A247" s="8"/>
      <c r="B247" s="8"/>
      <c r="C247" s="8"/>
      <c r="D247" s="8"/>
      <c r="E247" s="8"/>
      <c r="F247" s="9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24.0" customHeight="1">
      <c r="A248" s="8"/>
      <c r="B248" s="8"/>
      <c r="C248" s="8"/>
      <c r="D248" s="8"/>
      <c r="E248" s="8"/>
      <c r="F248" s="9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24.0" customHeight="1">
      <c r="A249" s="8"/>
      <c r="B249" s="8"/>
      <c r="C249" s="8"/>
      <c r="D249" s="8"/>
      <c r="E249" s="8"/>
      <c r="F249" s="9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24.0" customHeight="1">
      <c r="A250" s="8"/>
      <c r="B250" s="8"/>
      <c r="C250" s="8"/>
      <c r="D250" s="8"/>
      <c r="E250" s="8"/>
      <c r="F250" s="9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24.0" customHeight="1">
      <c r="A251" s="8"/>
      <c r="B251" s="8"/>
      <c r="C251" s="8"/>
      <c r="D251" s="8"/>
      <c r="E251" s="8"/>
      <c r="F251" s="9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24.0" customHeight="1">
      <c r="A252" s="8"/>
      <c r="B252" s="8"/>
      <c r="C252" s="8"/>
      <c r="D252" s="8"/>
      <c r="E252" s="8"/>
      <c r="F252" s="9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24.0" customHeight="1">
      <c r="A253" s="8"/>
      <c r="B253" s="8"/>
      <c r="C253" s="8"/>
      <c r="D253" s="8"/>
      <c r="E253" s="8"/>
      <c r="F253" s="9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24.0" customHeight="1">
      <c r="A254" s="8"/>
      <c r="B254" s="8"/>
      <c r="C254" s="8"/>
      <c r="D254" s="8"/>
      <c r="E254" s="8"/>
      <c r="F254" s="9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24.0" customHeight="1">
      <c r="A255" s="8"/>
      <c r="B255" s="8"/>
      <c r="C255" s="8"/>
      <c r="D255" s="8"/>
      <c r="E255" s="8"/>
      <c r="F255" s="9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24.0" customHeight="1">
      <c r="A256" s="8"/>
      <c r="B256" s="8"/>
      <c r="C256" s="8"/>
      <c r="D256" s="8"/>
      <c r="E256" s="8"/>
      <c r="F256" s="9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24.0" customHeight="1">
      <c r="A257" s="8"/>
      <c r="B257" s="8"/>
      <c r="C257" s="8"/>
      <c r="D257" s="8"/>
      <c r="E257" s="8"/>
      <c r="F257" s="9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24.0" customHeight="1">
      <c r="A258" s="8"/>
      <c r="B258" s="8"/>
      <c r="C258" s="8"/>
      <c r="D258" s="8"/>
      <c r="E258" s="8"/>
      <c r="F258" s="9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24.0" customHeight="1">
      <c r="A259" s="8"/>
      <c r="B259" s="8"/>
      <c r="C259" s="8"/>
      <c r="D259" s="8"/>
      <c r="E259" s="8"/>
      <c r="F259" s="9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24.0" customHeight="1">
      <c r="A260" s="8"/>
      <c r="B260" s="8"/>
      <c r="C260" s="8"/>
      <c r="D260" s="8"/>
      <c r="E260" s="8"/>
      <c r="F260" s="9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24.0" customHeight="1">
      <c r="A261" s="8"/>
      <c r="B261" s="8"/>
      <c r="C261" s="8"/>
      <c r="D261" s="8"/>
      <c r="E261" s="8"/>
      <c r="F261" s="9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24.0" customHeight="1">
      <c r="A262" s="8"/>
      <c r="B262" s="8"/>
      <c r="C262" s="8"/>
      <c r="D262" s="8"/>
      <c r="E262" s="8"/>
      <c r="F262" s="9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24.0" customHeight="1">
      <c r="A263" s="8"/>
      <c r="B263" s="8"/>
      <c r="C263" s="8"/>
      <c r="D263" s="8"/>
      <c r="E263" s="8"/>
      <c r="F263" s="9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24.0" customHeight="1">
      <c r="A264" s="8"/>
      <c r="B264" s="8"/>
      <c r="C264" s="8"/>
      <c r="D264" s="8"/>
      <c r="E264" s="8"/>
      <c r="F264" s="9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24.0" customHeight="1">
      <c r="A265" s="8"/>
      <c r="B265" s="8"/>
      <c r="C265" s="8"/>
      <c r="D265" s="8"/>
      <c r="E265" s="8"/>
      <c r="F265" s="9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24.0" customHeight="1">
      <c r="A266" s="8"/>
      <c r="B266" s="8"/>
      <c r="C266" s="8"/>
      <c r="D266" s="8"/>
      <c r="E266" s="8"/>
      <c r="F266" s="9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24.0" customHeight="1">
      <c r="A267" s="8"/>
      <c r="B267" s="8"/>
      <c r="C267" s="8"/>
      <c r="D267" s="8"/>
      <c r="E267" s="8"/>
      <c r="F267" s="9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24.0" customHeight="1">
      <c r="A268" s="8"/>
      <c r="B268" s="8"/>
      <c r="C268" s="8"/>
      <c r="D268" s="8"/>
      <c r="E268" s="8"/>
      <c r="F268" s="9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24.0" customHeight="1">
      <c r="A269" s="8"/>
      <c r="B269" s="8"/>
      <c r="C269" s="8"/>
      <c r="D269" s="8"/>
      <c r="E269" s="8"/>
      <c r="F269" s="9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24.0" customHeight="1">
      <c r="A270" s="8"/>
      <c r="B270" s="8"/>
      <c r="C270" s="8"/>
      <c r="D270" s="8"/>
      <c r="E270" s="8"/>
      <c r="F270" s="9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24.0" customHeight="1">
      <c r="A271" s="8"/>
      <c r="B271" s="8"/>
      <c r="C271" s="8"/>
      <c r="D271" s="8"/>
      <c r="E271" s="8"/>
      <c r="F271" s="9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24.0" customHeight="1">
      <c r="A272" s="8"/>
      <c r="B272" s="8"/>
      <c r="C272" s="8"/>
      <c r="D272" s="8"/>
      <c r="E272" s="8"/>
      <c r="F272" s="9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24.0" customHeight="1">
      <c r="A273" s="8"/>
      <c r="B273" s="8"/>
      <c r="C273" s="8"/>
      <c r="D273" s="8"/>
      <c r="E273" s="8"/>
      <c r="F273" s="9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24.0" customHeight="1">
      <c r="A274" s="8"/>
      <c r="B274" s="8"/>
      <c r="C274" s="8"/>
      <c r="D274" s="8"/>
      <c r="E274" s="8"/>
      <c r="F274" s="9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24.0" customHeight="1">
      <c r="A275" s="8"/>
      <c r="B275" s="8"/>
      <c r="C275" s="8"/>
      <c r="D275" s="8"/>
      <c r="E275" s="8"/>
      <c r="F275" s="9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24.0" customHeight="1">
      <c r="A276" s="8"/>
      <c r="B276" s="8"/>
      <c r="C276" s="8"/>
      <c r="D276" s="8"/>
      <c r="E276" s="8"/>
      <c r="F276" s="9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24.0" customHeight="1">
      <c r="A277" s="8"/>
      <c r="B277" s="8"/>
      <c r="C277" s="8"/>
      <c r="D277" s="8"/>
      <c r="E277" s="8"/>
      <c r="F277" s="9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24.0" customHeight="1">
      <c r="A278" s="8"/>
      <c r="B278" s="8"/>
      <c r="C278" s="8"/>
      <c r="D278" s="8"/>
      <c r="E278" s="8"/>
      <c r="F278" s="9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24.0" customHeight="1">
      <c r="A279" s="8"/>
      <c r="B279" s="8"/>
      <c r="C279" s="8"/>
      <c r="D279" s="8"/>
      <c r="E279" s="8"/>
      <c r="F279" s="9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24.0" customHeight="1">
      <c r="A280" s="8"/>
      <c r="B280" s="8"/>
      <c r="C280" s="8"/>
      <c r="D280" s="8"/>
      <c r="E280" s="8"/>
      <c r="F280" s="9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24.0" customHeight="1">
      <c r="A281" s="8"/>
      <c r="B281" s="8"/>
      <c r="C281" s="8"/>
      <c r="D281" s="8"/>
      <c r="E281" s="8"/>
      <c r="F281" s="9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24.0" customHeight="1">
      <c r="A282" s="8"/>
      <c r="B282" s="8"/>
      <c r="C282" s="8"/>
      <c r="D282" s="8"/>
      <c r="E282" s="8"/>
      <c r="F282" s="9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24.0" customHeight="1">
      <c r="A283" s="8"/>
      <c r="B283" s="8"/>
      <c r="C283" s="8"/>
      <c r="D283" s="8"/>
      <c r="E283" s="8"/>
      <c r="F283" s="9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24.0" customHeight="1">
      <c r="A284" s="8"/>
      <c r="B284" s="8"/>
      <c r="C284" s="8"/>
      <c r="D284" s="8"/>
      <c r="E284" s="8"/>
      <c r="F284" s="9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24.0" customHeight="1">
      <c r="A285" s="8"/>
      <c r="B285" s="8"/>
      <c r="C285" s="8"/>
      <c r="D285" s="8"/>
      <c r="E285" s="8"/>
      <c r="F285" s="9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24.0" customHeight="1">
      <c r="A286" s="8"/>
      <c r="B286" s="8"/>
      <c r="C286" s="8"/>
      <c r="D286" s="8"/>
      <c r="E286" s="8"/>
      <c r="F286" s="9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24.0" customHeight="1">
      <c r="A287" s="8"/>
      <c r="B287" s="8"/>
      <c r="C287" s="8"/>
      <c r="D287" s="8"/>
      <c r="E287" s="8"/>
      <c r="F287" s="9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24.0" customHeight="1">
      <c r="A288" s="8"/>
      <c r="B288" s="8"/>
      <c r="C288" s="8"/>
      <c r="D288" s="8"/>
      <c r="E288" s="8"/>
      <c r="F288" s="9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24.0" customHeight="1">
      <c r="A289" s="8"/>
      <c r="B289" s="8"/>
      <c r="C289" s="8"/>
      <c r="D289" s="8"/>
      <c r="E289" s="8"/>
      <c r="F289" s="9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24.0" customHeight="1">
      <c r="A290" s="8"/>
      <c r="B290" s="8"/>
      <c r="C290" s="8"/>
      <c r="D290" s="8"/>
      <c r="E290" s="8"/>
      <c r="F290" s="9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24.0" customHeight="1">
      <c r="A291" s="8"/>
      <c r="B291" s="8"/>
      <c r="C291" s="8"/>
      <c r="D291" s="8"/>
      <c r="E291" s="8"/>
      <c r="F291" s="9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24.0" customHeight="1">
      <c r="A292" s="8"/>
      <c r="B292" s="8"/>
      <c r="C292" s="8"/>
      <c r="D292" s="8"/>
      <c r="E292" s="8"/>
      <c r="F292" s="9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24.0" customHeight="1">
      <c r="A293" s="8"/>
      <c r="B293" s="8"/>
      <c r="C293" s="8"/>
      <c r="D293" s="8"/>
      <c r="E293" s="8"/>
      <c r="F293" s="9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24.0" customHeight="1">
      <c r="A294" s="8"/>
      <c r="B294" s="8"/>
      <c r="C294" s="8"/>
      <c r="D294" s="8"/>
      <c r="E294" s="8"/>
      <c r="F294" s="9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24.0" customHeight="1">
      <c r="A295" s="8"/>
      <c r="B295" s="8"/>
      <c r="C295" s="8"/>
      <c r="D295" s="8"/>
      <c r="E295" s="8"/>
      <c r="F295" s="9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24.0" customHeight="1">
      <c r="A296" s="8"/>
      <c r="B296" s="8"/>
      <c r="C296" s="8"/>
      <c r="D296" s="8"/>
      <c r="E296" s="8"/>
      <c r="F296" s="9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24.0" customHeight="1">
      <c r="A297" s="8"/>
      <c r="B297" s="8"/>
      <c r="C297" s="8"/>
      <c r="D297" s="8"/>
      <c r="E297" s="8"/>
      <c r="F297" s="9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24.0" customHeight="1">
      <c r="A298" s="8"/>
      <c r="B298" s="8"/>
      <c r="C298" s="8"/>
      <c r="D298" s="8"/>
      <c r="E298" s="8"/>
      <c r="F298" s="9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24.0" customHeight="1">
      <c r="A299" s="8"/>
      <c r="B299" s="8"/>
      <c r="C299" s="8"/>
      <c r="D299" s="8"/>
      <c r="E299" s="8"/>
      <c r="F299" s="9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24.0" customHeight="1">
      <c r="A300" s="8"/>
      <c r="B300" s="8"/>
      <c r="C300" s="8"/>
      <c r="D300" s="8"/>
      <c r="E300" s="8"/>
      <c r="F300" s="9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24.0" customHeight="1">
      <c r="A301" s="8"/>
      <c r="B301" s="8"/>
      <c r="C301" s="8"/>
      <c r="D301" s="8"/>
      <c r="E301" s="8"/>
      <c r="F301" s="9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24.0" customHeight="1">
      <c r="A302" s="8"/>
      <c r="B302" s="8"/>
      <c r="C302" s="8"/>
      <c r="D302" s="8"/>
      <c r="E302" s="8"/>
      <c r="F302" s="9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24.0" customHeight="1">
      <c r="A303" s="8"/>
      <c r="B303" s="8"/>
      <c r="C303" s="8"/>
      <c r="D303" s="8"/>
      <c r="E303" s="8"/>
      <c r="F303" s="9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24.0" customHeight="1">
      <c r="A304" s="8"/>
      <c r="B304" s="8"/>
      <c r="C304" s="8"/>
      <c r="D304" s="8"/>
      <c r="E304" s="8"/>
      <c r="F304" s="9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24.0" customHeight="1">
      <c r="A305" s="8"/>
      <c r="B305" s="8"/>
      <c r="C305" s="8"/>
      <c r="D305" s="8"/>
      <c r="E305" s="8"/>
      <c r="F305" s="9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24.0" customHeight="1">
      <c r="A306" s="8"/>
      <c r="B306" s="8"/>
      <c r="C306" s="8"/>
      <c r="D306" s="8"/>
      <c r="E306" s="8"/>
      <c r="F306" s="9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24.0" customHeight="1">
      <c r="A307" s="8"/>
      <c r="B307" s="8"/>
      <c r="C307" s="8"/>
      <c r="D307" s="8"/>
      <c r="E307" s="8"/>
      <c r="F307" s="9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24.0" customHeight="1">
      <c r="A308" s="8"/>
      <c r="B308" s="8"/>
      <c r="C308" s="8"/>
      <c r="D308" s="8"/>
      <c r="E308" s="8"/>
      <c r="F308" s="9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24.0" customHeight="1">
      <c r="A309" s="8"/>
      <c r="B309" s="8"/>
      <c r="C309" s="8"/>
      <c r="D309" s="8"/>
      <c r="E309" s="8"/>
      <c r="F309" s="9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24.0" customHeight="1">
      <c r="A310" s="8"/>
      <c r="B310" s="8"/>
      <c r="C310" s="8"/>
      <c r="D310" s="8"/>
      <c r="E310" s="8"/>
      <c r="F310" s="9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24.0" customHeight="1">
      <c r="A311" s="8"/>
      <c r="B311" s="8"/>
      <c r="C311" s="8"/>
      <c r="D311" s="8"/>
      <c r="E311" s="8"/>
      <c r="F311" s="9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24.0" customHeight="1">
      <c r="A312" s="8"/>
      <c r="B312" s="8"/>
      <c r="C312" s="8"/>
      <c r="D312" s="8"/>
      <c r="E312" s="8"/>
      <c r="F312" s="9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24.0" customHeight="1">
      <c r="A313" s="8"/>
      <c r="B313" s="8"/>
      <c r="C313" s="8"/>
      <c r="D313" s="8"/>
      <c r="E313" s="8"/>
      <c r="F313" s="9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24.0" customHeight="1">
      <c r="A314" s="8"/>
      <c r="B314" s="8"/>
      <c r="C314" s="8"/>
      <c r="D314" s="8"/>
      <c r="E314" s="8"/>
      <c r="F314" s="9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24.0" customHeight="1">
      <c r="A315" s="8"/>
      <c r="B315" s="8"/>
      <c r="C315" s="8"/>
      <c r="D315" s="8"/>
      <c r="E315" s="8"/>
      <c r="F315" s="9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24.0" customHeight="1">
      <c r="A316" s="8"/>
      <c r="B316" s="8"/>
      <c r="C316" s="8"/>
      <c r="D316" s="8"/>
      <c r="E316" s="8"/>
      <c r="F316" s="9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24.0" customHeight="1">
      <c r="A317" s="8"/>
      <c r="B317" s="8"/>
      <c r="C317" s="8"/>
      <c r="D317" s="8"/>
      <c r="E317" s="8"/>
      <c r="F317" s="9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24.0" customHeight="1">
      <c r="A318" s="8"/>
      <c r="B318" s="8"/>
      <c r="C318" s="8"/>
      <c r="D318" s="8"/>
      <c r="E318" s="8"/>
      <c r="F318" s="9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24.0" customHeight="1">
      <c r="A319" s="8"/>
      <c r="B319" s="8"/>
      <c r="C319" s="8"/>
      <c r="D319" s="8"/>
      <c r="E319" s="8"/>
      <c r="F319" s="9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24.0" customHeight="1">
      <c r="A320" s="8"/>
      <c r="B320" s="8"/>
      <c r="C320" s="8"/>
      <c r="D320" s="8"/>
      <c r="E320" s="8"/>
      <c r="F320" s="9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24.0" customHeight="1">
      <c r="A321" s="8"/>
      <c r="B321" s="8"/>
      <c r="C321" s="8"/>
      <c r="D321" s="8"/>
      <c r="E321" s="8"/>
      <c r="F321" s="9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24.0" customHeight="1">
      <c r="A322" s="8"/>
      <c r="B322" s="8"/>
      <c r="C322" s="8"/>
      <c r="D322" s="8"/>
      <c r="E322" s="8"/>
      <c r="F322" s="9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24.0" customHeight="1">
      <c r="A323" s="8"/>
      <c r="B323" s="8"/>
      <c r="C323" s="8"/>
      <c r="D323" s="8"/>
      <c r="E323" s="8"/>
      <c r="F323" s="9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24.0" customHeight="1">
      <c r="A324" s="8"/>
      <c r="B324" s="8"/>
      <c r="C324" s="8"/>
      <c r="D324" s="8"/>
      <c r="E324" s="8"/>
      <c r="F324" s="9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24.0" customHeight="1">
      <c r="A325" s="8"/>
      <c r="B325" s="8"/>
      <c r="C325" s="8"/>
      <c r="D325" s="8"/>
      <c r="E325" s="8"/>
      <c r="F325" s="9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24.0" customHeight="1">
      <c r="A326" s="8"/>
      <c r="B326" s="8"/>
      <c r="C326" s="8"/>
      <c r="D326" s="8"/>
      <c r="E326" s="8"/>
      <c r="F326" s="9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24.0" customHeight="1">
      <c r="A327" s="8"/>
      <c r="B327" s="8"/>
      <c r="C327" s="8"/>
      <c r="D327" s="8"/>
      <c r="E327" s="8"/>
      <c r="F327" s="9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24.0" customHeight="1">
      <c r="A328" s="8"/>
      <c r="B328" s="8"/>
      <c r="C328" s="8"/>
      <c r="D328" s="8"/>
      <c r="E328" s="8"/>
      <c r="F328" s="9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24.0" customHeight="1">
      <c r="A329" s="8"/>
      <c r="B329" s="8"/>
      <c r="C329" s="8"/>
      <c r="D329" s="8"/>
      <c r="E329" s="8"/>
      <c r="F329" s="9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24.0" customHeight="1">
      <c r="A330" s="8"/>
      <c r="B330" s="8"/>
      <c r="C330" s="8"/>
      <c r="D330" s="8"/>
      <c r="E330" s="8"/>
      <c r="F330" s="9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24.0" customHeight="1">
      <c r="A331" s="8"/>
      <c r="B331" s="8"/>
      <c r="C331" s="8"/>
      <c r="D331" s="8"/>
      <c r="E331" s="8"/>
      <c r="F331" s="9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24.0" customHeight="1">
      <c r="A332" s="8"/>
      <c r="B332" s="8"/>
      <c r="C332" s="8"/>
      <c r="D332" s="8"/>
      <c r="E332" s="8"/>
      <c r="F332" s="9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24.0" customHeight="1">
      <c r="A333" s="8"/>
      <c r="B333" s="8"/>
      <c r="C333" s="8"/>
      <c r="D333" s="8"/>
      <c r="E333" s="8"/>
      <c r="F333" s="9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24.0" customHeight="1">
      <c r="A334" s="8"/>
      <c r="B334" s="8"/>
      <c r="C334" s="8"/>
      <c r="D334" s="8"/>
      <c r="E334" s="8"/>
      <c r="F334" s="9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24.0" customHeight="1">
      <c r="A335" s="8"/>
      <c r="B335" s="8"/>
      <c r="C335" s="8"/>
      <c r="D335" s="8"/>
      <c r="E335" s="8"/>
      <c r="F335" s="9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24.0" customHeight="1">
      <c r="A336" s="8"/>
      <c r="B336" s="8"/>
      <c r="C336" s="8"/>
      <c r="D336" s="8"/>
      <c r="E336" s="8"/>
      <c r="F336" s="9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24.0" customHeight="1">
      <c r="A337" s="8"/>
      <c r="B337" s="8"/>
      <c r="C337" s="8"/>
      <c r="D337" s="8"/>
      <c r="E337" s="8"/>
      <c r="F337" s="9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24.0" customHeight="1">
      <c r="A338" s="8"/>
      <c r="B338" s="8"/>
      <c r="C338" s="8"/>
      <c r="D338" s="8"/>
      <c r="E338" s="8"/>
      <c r="F338" s="9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24.0" customHeight="1">
      <c r="A339" s="8"/>
      <c r="B339" s="8"/>
      <c r="C339" s="8"/>
      <c r="D339" s="8"/>
      <c r="E339" s="8"/>
      <c r="F339" s="9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24.0" customHeight="1">
      <c r="A340" s="8"/>
      <c r="B340" s="8"/>
      <c r="C340" s="8"/>
      <c r="D340" s="8"/>
      <c r="E340" s="8"/>
      <c r="F340" s="9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24.0" customHeight="1">
      <c r="A341" s="8"/>
      <c r="B341" s="8"/>
      <c r="C341" s="8"/>
      <c r="D341" s="8"/>
      <c r="E341" s="8"/>
      <c r="F341" s="9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24.0" customHeight="1">
      <c r="A342" s="8"/>
      <c r="B342" s="8"/>
      <c r="C342" s="8"/>
      <c r="D342" s="8"/>
      <c r="E342" s="8"/>
      <c r="F342" s="9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24.0" customHeight="1">
      <c r="A343" s="8"/>
      <c r="B343" s="8"/>
      <c r="C343" s="8"/>
      <c r="D343" s="8"/>
      <c r="E343" s="8"/>
      <c r="F343" s="9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24.0" customHeight="1">
      <c r="A344" s="8"/>
      <c r="B344" s="8"/>
      <c r="C344" s="8"/>
      <c r="D344" s="8"/>
      <c r="E344" s="8"/>
      <c r="F344" s="9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24.0" customHeight="1">
      <c r="A345" s="8"/>
      <c r="B345" s="8"/>
      <c r="C345" s="8"/>
      <c r="D345" s="8"/>
      <c r="E345" s="8"/>
      <c r="F345" s="9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24.0" customHeight="1">
      <c r="A346" s="8"/>
      <c r="B346" s="8"/>
      <c r="C346" s="8"/>
      <c r="D346" s="8"/>
      <c r="E346" s="8"/>
      <c r="F346" s="9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24.0" customHeight="1">
      <c r="A347" s="8"/>
      <c r="B347" s="8"/>
      <c r="C347" s="8"/>
      <c r="D347" s="8"/>
      <c r="E347" s="8"/>
      <c r="F347" s="9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24.0" customHeight="1">
      <c r="A348" s="8"/>
      <c r="B348" s="8"/>
      <c r="C348" s="8"/>
      <c r="D348" s="8"/>
      <c r="E348" s="8"/>
      <c r="F348" s="9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24.0" customHeight="1">
      <c r="A349" s="8"/>
      <c r="B349" s="8"/>
      <c r="C349" s="8"/>
      <c r="D349" s="8"/>
      <c r="E349" s="8"/>
      <c r="F349" s="9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24.0" customHeight="1">
      <c r="A350" s="8"/>
      <c r="B350" s="8"/>
      <c r="C350" s="8"/>
      <c r="D350" s="8"/>
      <c r="E350" s="8"/>
      <c r="F350" s="9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24.0" customHeight="1">
      <c r="A351" s="8"/>
      <c r="B351" s="8"/>
      <c r="C351" s="8"/>
      <c r="D351" s="8"/>
      <c r="E351" s="8"/>
      <c r="F351" s="9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24.0" customHeight="1">
      <c r="A352" s="8"/>
      <c r="B352" s="8"/>
      <c r="C352" s="8"/>
      <c r="D352" s="8"/>
      <c r="E352" s="8"/>
      <c r="F352" s="9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24.0" customHeight="1">
      <c r="A353" s="8"/>
      <c r="B353" s="8"/>
      <c r="C353" s="8"/>
      <c r="D353" s="8"/>
      <c r="E353" s="8"/>
      <c r="F353" s="9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24.0" customHeight="1">
      <c r="A354" s="8"/>
      <c r="B354" s="8"/>
      <c r="C354" s="8"/>
      <c r="D354" s="8"/>
      <c r="E354" s="8"/>
      <c r="F354" s="9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24.0" customHeight="1">
      <c r="A355" s="8"/>
      <c r="B355" s="8"/>
      <c r="C355" s="8"/>
      <c r="D355" s="8"/>
      <c r="E355" s="8"/>
      <c r="F355" s="9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24.0" customHeight="1">
      <c r="A356" s="8"/>
      <c r="B356" s="8"/>
      <c r="C356" s="8"/>
      <c r="D356" s="8"/>
      <c r="E356" s="8"/>
      <c r="F356" s="9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24.0" customHeight="1">
      <c r="A357" s="8"/>
      <c r="B357" s="8"/>
      <c r="C357" s="8"/>
      <c r="D357" s="8"/>
      <c r="E357" s="8"/>
      <c r="F357" s="9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24.0" customHeight="1">
      <c r="A358" s="8"/>
      <c r="B358" s="8"/>
      <c r="C358" s="8"/>
      <c r="D358" s="8"/>
      <c r="E358" s="8"/>
      <c r="F358" s="9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24.0" customHeight="1">
      <c r="A359" s="8"/>
      <c r="B359" s="8"/>
      <c r="C359" s="8"/>
      <c r="D359" s="8"/>
      <c r="E359" s="8"/>
      <c r="F359" s="9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24.0" customHeight="1">
      <c r="A360" s="8"/>
      <c r="B360" s="8"/>
      <c r="C360" s="8"/>
      <c r="D360" s="8"/>
      <c r="E360" s="8"/>
      <c r="F360" s="9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24.0" customHeight="1">
      <c r="A361" s="8"/>
      <c r="B361" s="8"/>
      <c r="C361" s="8"/>
      <c r="D361" s="8"/>
      <c r="E361" s="8"/>
      <c r="F361" s="9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24.0" customHeight="1">
      <c r="A362" s="8"/>
      <c r="B362" s="8"/>
      <c r="C362" s="8"/>
      <c r="D362" s="8"/>
      <c r="E362" s="8"/>
      <c r="F362" s="9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24.0" customHeight="1">
      <c r="A363" s="8"/>
      <c r="B363" s="8"/>
      <c r="C363" s="8"/>
      <c r="D363" s="8"/>
      <c r="E363" s="8"/>
      <c r="F363" s="9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24.0" customHeight="1">
      <c r="A364" s="8"/>
      <c r="B364" s="8"/>
      <c r="C364" s="8"/>
      <c r="D364" s="8"/>
      <c r="E364" s="8"/>
      <c r="F364" s="9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24.0" customHeight="1">
      <c r="A365" s="8"/>
      <c r="B365" s="8"/>
      <c r="C365" s="8"/>
      <c r="D365" s="8"/>
      <c r="E365" s="8"/>
      <c r="F365" s="9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24.0" customHeight="1">
      <c r="A366" s="8"/>
      <c r="B366" s="8"/>
      <c r="C366" s="8"/>
      <c r="D366" s="8"/>
      <c r="E366" s="8"/>
      <c r="F366" s="9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24.0" customHeight="1">
      <c r="A367" s="8"/>
      <c r="B367" s="8"/>
      <c r="C367" s="8"/>
      <c r="D367" s="8"/>
      <c r="E367" s="8"/>
      <c r="F367" s="9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24.0" customHeight="1">
      <c r="A368" s="8"/>
      <c r="B368" s="8"/>
      <c r="C368" s="8"/>
      <c r="D368" s="8"/>
      <c r="E368" s="8"/>
      <c r="F368" s="9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24.0" customHeight="1">
      <c r="A369" s="8"/>
      <c r="B369" s="8"/>
      <c r="C369" s="8"/>
      <c r="D369" s="8"/>
      <c r="E369" s="8"/>
      <c r="F369" s="9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24.0" customHeight="1">
      <c r="A370" s="8"/>
      <c r="B370" s="8"/>
      <c r="C370" s="8"/>
      <c r="D370" s="8"/>
      <c r="E370" s="8"/>
      <c r="F370" s="9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24.0" customHeight="1">
      <c r="A371" s="8"/>
      <c r="B371" s="8"/>
      <c r="C371" s="8"/>
      <c r="D371" s="8"/>
      <c r="E371" s="8"/>
      <c r="F371" s="9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24.0" customHeight="1">
      <c r="A372" s="8"/>
      <c r="B372" s="8"/>
      <c r="C372" s="8"/>
      <c r="D372" s="8"/>
      <c r="E372" s="8"/>
      <c r="F372" s="9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24.0" customHeight="1">
      <c r="A373" s="8"/>
      <c r="B373" s="8"/>
      <c r="C373" s="8"/>
      <c r="D373" s="8"/>
      <c r="E373" s="8"/>
      <c r="F373" s="9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24.0" customHeight="1">
      <c r="A374" s="8"/>
      <c r="B374" s="8"/>
      <c r="C374" s="8"/>
      <c r="D374" s="8"/>
      <c r="E374" s="8"/>
      <c r="F374" s="9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24.0" customHeight="1">
      <c r="A375" s="8"/>
      <c r="B375" s="8"/>
      <c r="C375" s="8"/>
      <c r="D375" s="8"/>
      <c r="E375" s="8"/>
      <c r="F375" s="9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24.0" customHeight="1">
      <c r="A376" s="8"/>
      <c r="B376" s="8"/>
      <c r="C376" s="8"/>
      <c r="D376" s="8"/>
      <c r="E376" s="8"/>
      <c r="F376" s="9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24.0" customHeight="1">
      <c r="A377" s="8"/>
      <c r="B377" s="8"/>
      <c r="C377" s="8"/>
      <c r="D377" s="8"/>
      <c r="E377" s="8"/>
      <c r="F377" s="9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24.0" customHeight="1">
      <c r="A378" s="8"/>
      <c r="B378" s="8"/>
      <c r="C378" s="8"/>
      <c r="D378" s="8"/>
      <c r="E378" s="8"/>
      <c r="F378" s="9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24.0" customHeight="1">
      <c r="A379" s="8"/>
      <c r="B379" s="8"/>
      <c r="C379" s="8"/>
      <c r="D379" s="8"/>
      <c r="E379" s="8"/>
      <c r="F379" s="9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24.0" customHeight="1">
      <c r="A380" s="8"/>
      <c r="B380" s="8"/>
      <c r="C380" s="8"/>
      <c r="D380" s="8"/>
      <c r="E380" s="8"/>
      <c r="F380" s="9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24.0" customHeight="1">
      <c r="A381" s="8"/>
      <c r="B381" s="8"/>
      <c r="C381" s="8"/>
      <c r="D381" s="8"/>
      <c r="E381" s="8"/>
      <c r="F381" s="9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24.0" customHeight="1">
      <c r="A382" s="8"/>
      <c r="B382" s="8"/>
      <c r="C382" s="8"/>
      <c r="D382" s="8"/>
      <c r="E382" s="8"/>
      <c r="F382" s="9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24.0" customHeight="1">
      <c r="A383" s="8"/>
      <c r="B383" s="8"/>
      <c r="C383" s="8"/>
      <c r="D383" s="8"/>
      <c r="E383" s="8"/>
      <c r="F383" s="9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24.0" customHeight="1">
      <c r="A384" s="8"/>
      <c r="B384" s="8"/>
      <c r="C384" s="8"/>
      <c r="D384" s="8"/>
      <c r="E384" s="8"/>
      <c r="F384" s="9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24.0" customHeight="1">
      <c r="A385" s="8"/>
      <c r="B385" s="8"/>
      <c r="C385" s="8"/>
      <c r="D385" s="8"/>
      <c r="E385" s="8"/>
      <c r="F385" s="9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24.0" customHeight="1">
      <c r="A386" s="8"/>
      <c r="B386" s="8"/>
      <c r="C386" s="8"/>
      <c r="D386" s="8"/>
      <c r="E386" s="8"/>
      <c r="F386" s="9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24.0" customHeight="1">
      <c r="A387" s="8"/>
      <c r="B387" s="8"/>
      <c r="C387" s="8"/>
      <c r="D387" s="8"/>
      <c r="E387" s="8"/>
      <c r="F387" s="9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24.0" customHeight="1">
      <c r="A388" s="8"/>
      <c r="B388" s="8"/>
      <c r="C388" s="8"/>
      <c r="D388" s="8"/>
      <c r="E388" s="8"/>
      <c r="F388" s="9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24.0" customHeight="1">
      <c r="A389" s="8"/>
      <c r="B389" s="8"/>
      <c r="C389" s="8"/>
      <c r="D389" s="8"/>
      <c r="E389" s="8"/>
      <c r="F389" s="9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24.0" customHeight="1">
      <c r="A390" s="8"/>
      <c r="B390" s="8"/>
      <c r="C390" s="8"/>
      <c r="D390" s="8"/>
      <c r="E390" s="8"/>
      <c r="F390" s="9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24.0" customHeight="1">
      <c r="A391" s="8"/>
      <c r="B391" s="8"/>
      <c r="C391" s="8"/>
      <c r="D391" s="8"/>
      <c r="E391" s="8"/>
      <c r="F391" s="9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24.0" customHeight="1">
      <c r="A392" s="8"/>
      <c r="B392" s="8"/>
      <c r="C392" s="8"/>
      <c r="D392" s="8"/>
      <c r="E392" s="8"/>
      <c r="F392" s="9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24.0" customHeight="1">
      <c r="A393" s="8"/>
      <c r="B393" s="8"/>
      <c r="C393" s="8"/>
      <c r="D393" s="8"/>
      <c r="E393" s="8"/>
      <c r="F393" s="9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24.0" customHeight="1">
      <c r="A394" s="8"/>
      <c r="B394" s="8"/>
      <c r="C394" s="8"/>
      <c r="D394" s="8"/>
      <c r="E394" s="8"/>
      <c r="F394" s="9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24.0" customHeight="1">
      <c r="A395" s="8"/>
      <c r="B395" s="8"/>
      <c r="C395" s="8"/>
      <c r="D395" s="8"/>
      <c r="E395" s="8"/>
      <c r="F395" s="9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24.0" customHeight="1">
      <c r="A396" s="8"/>
      <c r="B396" s="8"/>
      <c r="C396" s="8"/>
      <c r="D396" s="8"/>
      <c r="E396" s="8"/>
      <c r="F396" s="9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24.0" customHeight="1">
      <c r="A397" s="8"/>
      <c r="B397" s="8"/>
      <c r="C397" s="8"/>
      <c r="D397" s="8"/>
      <c r="E397" s="8"/>
      <c r="F397" s="9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24.0" customHeight="1">
      <c r="A398" s="8"/>
      <c r="B398" s="8"/>
      <c r="C398" s="8"/>
      <c r="D398" s="8"/>
      <c r="E398" s="8"/>
      <c r="F398" s="9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24.0" customHeight="1">
      <c r="A399" s="8"/>
      <c r="B399" s="8"/>
      <c r="C399" s="8"/>
      <c r="D399" s="8"/>
      <c r="E399" s="8"/>
      <c r="F399" s="9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24.0" customHeight="1">
      <c r="A400" s="8"/>
      <c r="B400" s="8"/>
      <c r="C400" s="8"/>
      <c r="D400" s="8"/>
      <c r="E400" s="8"/>
      <c r="F400" s="9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24.0" customHeight="1">
      <c r="A401" s="8"/>
      <c r="B401" s="8"/>
      <c r="C401" s="8"/>
      <c r="D401" s="8"/>
      <c r="E401" s="8"/>
      <c r="F401" s="9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24.0" customHeight="1">
      <c r="A402" s="8"/>
      <c r="B402" s="8"/>
      <c r="C402" s="8"/>
      <c r="D402" s="8"/>
      <c r="E402" s="8"/>
      <c r="F402" s="9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24.0" customHeight="1">
      <c r="A403" s="8"/>
      <c r="B403" s="8"/>
      <c r="C403" s="8"/>
      <c r="D403" s="8"/>
      <c r="E403" s="8"/>
      <c r="F403" s="9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24.0" customHeight="1">
      <c r="A404" s="8"/>
      <c r="B404" s="8"/>
      <c r="C404" s="8"/>
      <c r="D404" s="8"/>
      <c r="E404" s="8"/>
      <c r="F404" s="9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24.0" customHeight="1">
      <c r="A405" s="8"/>
      <c r="B405" s="8"/>
      <c r="C405" s="8"/>
      <c r="D405" s="8"/>
      <c r="E405" s="8"/>
      <c r="F405" s="9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24.0" customHeight="1">
      <c r="A406" s="8"/>
      <c r="B406" s="8"/>
      <c r="C406" s="8"/>
      <c r="D406" s="8"/>
      <c r="E406" s="8"/>
      <c r="F406" s="9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24.0" customHeight="1">
      <c r="A407" s="8"/>
      <c r="B407" s="8"/>
      <c r="C407" s="8"/>
      <c r="D407" s="8"/>
      <c r="E407" s="8"/>
      <c r="F407" s="9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24.0" customHeight="1">
      <c r="A408" s="8"/>
      <c r="B408" s="8"/>
      <c r="C408" s="8"/>
      <c r="D408" s="8"/>
      <c r="E408" s="8"/>
      <c r="F408" s="9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24.0" customHeight="1">
      <c r="A409" s="8"/>
      <c r="B409" s="8"/>
      <c r="C409" s="8"/>
      <c r="D409" s="8"/>
      <c r="E409" s="8"/>
      <c r="F409" s="9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24.0" customHeight="1">
      <c r="A410" s="8"/>
      <c r="B410" s="8"/>
      <c r="C410" s="8"/>
      <c r="D410" s="8"/>
      <c r="E410" s="8"/>
      <c r="F410" s="9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24.0" customHeight="1">
      <c r="A411" s="8"/>
      <c r="B411" s="8"/>
      <c r="C411" s="8"/>
      <c r="D411" s="8"/>
      <c r="E411" s="8"/>
      <c r="F411" s="9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24.0" customHeight="1">
      <c r="A412" s="8"/>
      <c r="B412" s="8"/>
      <c r="C412" s="8"/>
      <c r="D412" s="8"/>
      <c r="E412" s="8"/>
      <c r="F412" s="9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24.0" customHeight="1">
      <c r="A413" s="8"/>
      <c r="B413" s="8"/>
      <c r="C413" s="8"/>
      <c r="D413" s="8"/>
      <c r="E413" s="8"/>
      <c r="F413" s="9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24.0" customHeight="1">
      <c r="A414" s="8"/>
      <c r="B414" s="8"/>
      <c r="C414" s="8"/>
      <c r="D414" s="8"/>
      <c r="E414" s="8"/>
      <c r="F414" s="9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24.0" customHeight="1">
      <c r="A415" s="8"/>
      <c r="B415" s="8"/>
      <c r="C415" s="8"/>
      <c r="D415" s="8"/>
      <c r="E415" s="8"/>
      <c r="F415" s="9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24.0" customHeight="1">
      <c r="A416" s="8"/>
      <c r="B416" s="8"/>
      <c r="C416" s="8"/>
      <c r="D416" s="8"/>
      <c r="E416" s="8"/>
      <c r="F416" s="9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24.0" customHeight="1">
      <c r="A417" s="8"/>
      <c r="B417" s="8"/>
      <c r="C417" s="8"/>
      <c r="D417" s="8"/>
      <c r="E417" s="8"/>
      <c r="F417" s="9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24.0" customHeight="1">
      <c r="A418" s="8"/>
      <c r="B418" s="8"/>
      <c r="C418" s="8"/>
      <c r="D418" s="8"/>
      <c r="E418" s="8"/>
      <c r="F418" s="9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24.0" customHeight="1">
      <c r="A419" s="8"/>
      <c r="B419" s="8"/>
      <c r="C419" s="8"/>
      <c r="D419" s="8"/>
      <c r="E419" s="8"/>
      <c r="F419" s="9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24.0" customHeight="1">
      <c r="A420" s="8"/>
      <c r="B420" s="8"/>
      <c r="C420" s="8"/>
      <c r="D420" s="8"/>
      <c r="E420" s="8"/>
      <c r="F420" s="9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24.0" customHeight="1">
      <c r="A421" s="8"/>
      <c r="B421" s="8"/>
      <c r="C421" s="8"/>
      <c r="D421" s="8"/>
      <c r="E421" s="8"/>
      <c r="F421" s="9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24.0" customHeight="1">
      <c r="A422" s="8"/>
      <c r="B422" s="8"/>
      <c r="C422" s="8"/>
      <c r="D422" s="8"/>
      <c r="E422" s="8"/>
      <c r="F422" s="9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24.0" customHeight="1">
      <c r="A423" s="8"/>
      <c r="B423" s="8"/>
      <c r="C423" s="8"/>
      <c r="D423" s="8"/>
      <c r="E423" s="8"/>
      <c r="F423" s="9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24.0" customHeight="1">
      <c r="A424" s="8"/>
      <c r="B424" s="8"/>
      <c r="C424" s="8"/>
      <c r="D424" s="8"/>
      <c r="E424" s="8"/>
      <c r="F424" s="9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24.0" customHeight="1">
      <c r="A425" s="8"/>
      <c r="B425" s="8"/>
      <c r="C425" s="8"/>
      <c r="D425" s="8"/>
      <c r="E425" s="8"/>
      <c r="F425" s="9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24.0" customHeight="1">
      <c r="A426" s="8"/>
      <c r="B426" s="8"/>
      <c r="C426" s="8"/>
      <c r="D426" s="8"/>
      <c r="E426" s="8"/>
      <c r="F426" s="9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24.0" customHeight="1">
      <c r="A427" s="8"/>
      <c r="B427" s="8"/>
      <c r="C427" s="8"/>
      <c r="D427" s="8"/>
      <c r="E427" s="8"/>
      <c r="F427" s="9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24.0" customHeight="1">
      <c r="A428" s="8"/>
      <c r="B428" s="8"/>
      <c r="C428" s="8"/>
      <c r="D428" s="8"/>
      <c r="E428" s="8"/>
      <c r="F428" s="9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24.0" customHeight="1">
      <c r="A429" s="8"/>
      <c r="B429" s="8"/>
      <c r="C429" s="8"/>
      <c r="D429" s="8"/>
      <c r="E429" s="8"/>
      <c r="F429" s="9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24.0" customHeight="1">
      <c r="A430" s="8"/>
      <c r="B430" s="8"/>
      <c r="C430" s="8"/>
      <c r="D430" s="8"/>
      <c r="E430" s="8"/>
      <c r="F430" s="9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24.0" customHeight="1">
      <c r="A431" s="8"/>
      <c r="B431" s="8"/>
      <c r="C431" s="8"/>
      <c r="D431" s="8"/>
      <c r="E431" s="8"/>
      <c r="F431" s="9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24.0" customHeight="1">
      <c r="A432" s="8"/>
      <c r="B432" s="8"/>
      <c r="C432" s="8"/>
      <c r="D432" s="8"/>
      <c r="E432" s="8"/>
      <c r="F432" s="9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24.0" customHeight="1">
      <c r="A433" s="8"/>
      <c r="B433" s="8"/>
      <c r="C433" s="8"/>
      <c r="D433" s="8"/>
      <c r="E433" s="8"/>
      <c r="F433" s="9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24.0" customHeight="1">
      <c r="A434" s="8"/>
      <c r="B434" s="8"/>
      <c r="C434" s="8"/>
      <c r="D434" s="8"/>
      <c r="E434" s="8"/>
      <c r="F434" s="9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24.0" customHeight="1">
      <c r="A435" s="8"/>
      <c r="B435" s="8"/>
      <c r="C435" s="8"/>
      <c r="D435" s="8"/>
      <c r="E435" s="8"/>
      <c r="F435" s="9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24.0" customHeight="1">
      <c r="A436" s="8"/>
      <c r="B436" s="8"/>
      <c r="C436" s="8"/>
      <c r="D436" s="8"/>
      <c r="E436" s="8"/>
      <c r="F436" s="9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24.0" customHeight="1">
      <c r="A437" s="8"/>
      <c r="B437" s="8"/>
      <c r="C437" s="8"/>
      <c r="D437" s="8"/>
      <c r="E437" s="8"/>
      <c r="F437" s="9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24.0" customHeight="1">
      <c r="A438" s="8"/>
      <c r="B438" s="8"/>
      <c r="C438" s="8"/>
      <c r="D438" s="8"/>
      <c r="E438" s="8"/>
      <c r="F438" s="9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24.0" customHeight="1">
      <c r="A439" s="8"/>
      <c r="B439" s="8"/>
      <c r="C439" s="8"/>
      <c r="D439" s="8"/>
      <c r="E439" s="8"/>
      <c r="F439" s="9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24.0" customHeight="1">
      <c r="A440" s="8"/>
      <c r="B440" s="8"/>
      <c r="C440" s="8"/>
      <c r="D440" s="8"/>
      <c r="E440" s="8"/>
      <c r="F440" s="9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24.0" customHeight="1">
      <c r="A441" s="8"/>
      <c r="B441" s="8"/>
      <c r="C441" s="8"/>
      <c r="D441" s="8"/>
      <c r="E441" s="8"/>
      <c r="F441" s="9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24.0" customHeight="1">
      <c r="A442" s="8"/>
      <c r="B442" s="8"/>
      <c r="C442" s="8"/>
      <c r="D442" s="8"/>
      <c r="E442" s="8"/>
      <c r="F442" s="9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24.0" customHeight="1">
      <c r="A443" s="8"/>
      <c r="B443" s="8"/>
      <c r="C443" s="8"/>
      <c r="D443" s="8"/>
      <c r="E443" s="8"/>
      <c r="F443" s="9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24.0" customHeight="1">
      <c r="A444" s="8"/>
      <c r="B444" s="8"/>
      <c r="C444" s="8"/>
      <c r="D444" s="8"/>
      <c r="E444" s="8"/>
      <c r="F444" s="9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24.0" customHeight="1">
      <c r="A445" s="8"/>
      <c r="B445" s="8"/>
      <c r="C445" s="8"/>
      <c r="D445" s="8"/>
      <c r="E445" s="8"/>
      <c r="F445" s="9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24.0" customHeight="1">
      <c r="A446" s="8"/>
      <c r="B446" s="8"/>
      <c r="C446" s="8"/>
      <c r="D446" s="8"/>
      <c r="E446" s="8"/>
      <c r="F446" s="9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24.0" customHeight="1">
      <c r="A447" s="8"/>
      <c r="B447" s="8"/>
      <c r="C447" s="8"/>
      <c r="D447" s="8"/>
      <c r="E447" s="8"/>
      <c r="F447" s="9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24.0" customHeight="1">
      <c r="A448" s="8"/>
      <c r="B448" s="8"/>
      <c r="C448" s="8"/>
      <c r="D448" s="8"/>
      <c r="E448" s="8"/>
      <c r="F448" s="9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24.0" customHeight="1">
      <c r="A449" s="8"/>
      <c r="B449" s="8"/>
      <c r="C449" s="8"/>
      <c r="D449" s="8"/>
      <c r="E449" s="8"/>
      <c r="F449" s="9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24.0" customHeight="1">
      <c r="A450" s="8"/>
      <c r="B450" s="8"/>
      <c r="C450" s="8"/>
      <c r="D450" s="8"/>
      <c r="E450" s="8"/>
      <c r="F450" s="9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24.0" customHeight="1">
      <c r="A451" s="8"/>
      <c r="B451" s="8"/>
      <c r="C451" s="8"/>
      <c r="D451" s="8"/>
      <c r="E451" s="8"/>
      <c r="F451" s="9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24.0" customHeight="1">
      <c r="A452" s="8"/>
      <c r="B452" s="8"/>
      <c r="C452" s="8"/>
      <c r="D452" s="8"/>
      <c r="E452" s="8"/>
      <c r="F452" s="9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24.0" customHeight="1">
      <c r="A453" s="8"/>
      <c r="B453" s="8"/>
      <c r="C453" s="8"/>
      <c r="D453" s="8"/>
      <c r="E453" s="8"/>
      <c r="F453" s="9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24.0" customHeight="1">
      <c r="A454" s="8"/>
      <c r="B454" s="8"/>
      <c r="C454" s="8"/>
      <c r="D454" s="8"/>
      <c r="E454" s="8"/>
      <c r="F454" s="9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24.0" customHeight="1">
      <c r="A455" s="8"/>
      <c r="B455" s="8"/>
      <c r="C455" s="8"/>
      <c r="D455" s="8"/>
      <c r="E455" s="8"/>
      <c r="F455" s="9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24.0" customHeight="1">
      <c r="A456" s="8"/>
      <c r="B456" s="8"/>
      <c r="C456" s="8"/>
      <c r="D456" s="8"/>
      <c r="E456" s="8"/>
      <c r="F456" s="9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24.0" customHeight="1">
      <c r="A457" s="8"/>
      <c r="B457" s="8"/>
      <c r="C457" s="8"/>
      <c r="D457" s="8"/>
      <c r="E457" s="8"/>
      <c r="F457" s="9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24.0" customHeight="1">
      <c r="A458" s="8"/>
      <c r="B458" s="8"/>
      <c r="C458" s="8"/>
      <c r="D458" s="8"/>
      <c r="E458" s="8"/>
      <c r="F458" s="9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24.0" customHeight="1">
      <c r="A459" s="8"/>
      <c r="B459" s="8"/>
      <c r="C459" s="8"/>
      <c r="D459" s="8"/>
      <c r="E459" s="8"/>
      <c r="F459" s="9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24.0" customHeight="1">
      <c r="A460" s="8"/>
      <c r="B460" s="8"/>
      <c r="C460" s="8"/>
      <c r="D460" s="8"/>
      <c r="E460" s="8"/>
      <c r="F460" s="9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24.0" customHeight="1">
      <c r="A461" s="8"/>
      <c r="B461" s="8"/>
      <c r="C461" s="8"/>
      <c r="D461" s="8"/>
      <c r="E461" s="8"/>
      <c r="F461" s="9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24.0" customHeight="1">
      <c r="A462" s="8"/>
      <c r="B462" s="8"/>
      <c r="C462" s="8"/>
      <c r="D462" s="8"/>
      <c r="E462" s="8"/>
      <c r="F462" s="9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24.0" customHeight="1">
      <c r="A463" s="8"/>
      <c r="B463" s="8"/>
      <c r="C463" s="8"/>
      <c r="D463" s="8"/>
      <c r="E463" s="8"/>
      <c r="F463" s="9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24.0" customHeight="1">
      <c r="A464" s="8"/>
      <c r="B464" s="8"/>
      <c r="C464" s="8"/>
      <c r="D464" s="8"/>
      <c r="E464" s="8"/>
      <c r="F464" s="9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24.0" customHeight="1">
      <c r="A465" s="8"/>
      <c r="B465" s="8"/>
      <c r="C465" s="8"/>
      <c r="D465" s="8"/>
      <c r="E465" s="8"/>
      <c r="F465" s="9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24.0" customHeight="1">
      <c r="A466" s="8"/>
      <c r="B466" s="8"/>
      <c r="C466" s="8"/>
      <c r="D466" s="8"/>
      <c r="E466" s="8"/>
      <c r="F466" s="9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24.0" customHeight="1">
      <c r="A467" s="8"/>
      <c r="B467" s="8"/>
      <c r="C467" s="8"/>
      <c r="D467" s="8"/>
      <c r="E467" s="8"/>
      <c r="F467" s="9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24.0" customHeight="1">
      <c r="A468" s="8"/>
      <c r="B468" s="8"/>
      <c r="C468" s="8"/>
      <c r="D468" s="8"/>
      <c r="E468" s="8"/>
      <c r="F468" s="9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24.0" customHeight="1">
      <c r="A469" s="8"/>
      <c r="B469" s="8"/>
      <c r="C469" s="8"/>
      <c r="D469" s="8"/>
      <c r="E469" s="8"/>
      <c r="F469" s="9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24.0" customHeight="1">
      <c r="A470" s="8"/>
      <c r="B470" s="8"/>
      <c r="C470" s="8"/>
      <c r="D470" s="8"/>
      <c r="E470" s="8"/>
      <c r="F470" s="9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24.0" customHeight="1">
      <c r="A471" s="8"/>
      <c r="B471" s="8"/>
      <c r="C471" s="8"/>
      <c r="D471" s="8"/>
      <c r="E471" s="8"/>
      <c r="F471" s="9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24.0" customHeight="1">
      <c r="A472" s="8"/>
      <c r="B472" s="8"/>
      <c r="C472" s="8"/>
      <c r="D472" s="8"/>
      <c r="E472" s="8"/>
      <c r="F472" s="9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24.0" customHeight="1">
      <c r="A473" s="8"/>
      <c r="B473" s="8"/>
      <c r="C473" s="8"/>
      <c r="D473" s="8"/>
      <c r="E473" s="8"/>
      <c r="F473" s="9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24.0" customHeight="1">
      <c r="A474" s="8"/>
      <c r="B474" s="8"/>
      <c r="C474" s="8"/>
      <c r="D474" s="8"/>
      <c r="E474" s="8"/>
      <c r="F474" s="9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24.0" customHeight="1">
      <c r="A475" s="8"/>
      <c r="B475" s="8"/>
      <c r="C475" s="8"/>
      <c r="D475" s="8"/>
      <c r="E475" s="8"/>
      <c r="F475" s="9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24.0" customHeight="1">
      <c r="A476" s="8"/>
      <c r="B476" s="8"/>
      <c r="C476" s="8"/>
      <c r="D476" s="8"/>
      <c r="E476" s="8"/>
      <c r="F476" s="9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24.0" customHeight="1">
      <c r="A477" s="8"/>
      <c r="B477" s="8"/>
      <c r="C477" s="8"/>
      <c r="D477" s="8"/>
      <c r="E477" s="8"/>
      <c r="F477" s="9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24.0" customHeight="1">
      <c r="A478" s="8"/>
      <c r="B478" s="8"/>
      <c r="C478" s="8"/>
      <c r="D478" s="8"/>
      <c r="E478" s="8"/>
      <c r="F478" s="9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24.0" customHeight="1">
      <c r="A479" s="8"/>
      <c r="B479" s="8"/>
      <c r="C479" s="8"/>
      <c r="D479" s="8"/>
      <c r="E479" s="8"/>
      <c r="F479" s="9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24.0" customHeight="1">
      <c r="A480" s="8"/>
      <c r="B480" s="8"/>
      <c r="C480" s="8"/>
      <c r="D480" s="8"/>
      <c r="E480" s="8"/>
      <c r="F480" s="9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24.0" customHeight="1">
      <c r="A481" s="8"/>
      <c r="B481" s="8"/>
      <c r="C481" s="8"/>
      <c r="D481" s="8"/>
      <c r="E481" s="8"/>
      <c r="F481" s="9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24.0" customHeight="1">
      <c r="A482" s="8"/>
      <c r="B482" s="8"/>
      <c r="C482" s="8"/>
      <c r="D482" s="8"/>
      <c r="E482" s="8"/>
      <c r="F482" s="9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24.0" customHeight="1">
      <c r="A483" s="8"/>
      <c r="B483" s="8"/>
      <c r="C483" s="8"/>
      <c r="D483" s="8"/>
      <c r="E483" s="8"/>
      <c r="F483" s="9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24.0" customHeight="1">
      <c r="A484" s="8"/>
      <c r="B484" s="8"/>
      <c r="C484" s="8"/>
      <c r="D484" s="8"/>
      <c r="E484" s="8"/>
      <c r="F484" s="9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24.0" customHeight="1">
      <c r="A485" s="8"/>
      <c r="B485" s="8"/>
      <c r="C485" s="8"/>
      <c r="D485" s="8"/>
      <c r="E485" s="8"/>
      <c r="F485" s="9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24.0" customHeight="1">
      <c r="A486" s="8"/>
      <c r="B486" s="8"/>
      <c r="C486" s="8"/>
      <c r="D486" s="8"/>
      <c r="E486" s="8"/>
      <c r="F486" s="9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24.0" customHeight="1">
      <c r="A487" s="8"/>
      <c r="B487" s="8"/>
      <c r="C487" s="8"/>
      <c r="D487" s="8"/>
      <c r="E487" s="8"/>
      <c r="F487" s="9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24.0" customHeight="1">
      <c r="A488" s="8"/>
      <c r="B488" s="8"/>
      <c r="C488" s="8"/>
      <c r="D488" s="8"/>
      <c r="E488" s="8"/>
      <c r="F488" s="9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24.0" customHeight="1">
      <c r="A489" s="8"/>
      <c r="B489" s="8"/>
      <c r="C489" s="8"/>
      <c r="D489" s="8"/>
      <c r="E489" s="8"/>
      <c r="F489" s="9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24.0" customHeight="1">
      <c r="A490" s="8"/>
      <c r="B490" s="8"/>
      <c r="C490" s="8"/>
      <c r="D490" s="8"/>
      <c r="E490" s="8"/>
      <c r="F490" s="9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24.0" customHeight="1">
      <c r="A491" s="8"/>
      <c r="B491" s="8"/>
      <c r="C491" s="8"/>
      <c r="D491" s="8"/>
      <c r="E491" s="8"/>
      <c r="F491" s="9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24.0" customHeight="1">
      <c r="A492" s="8"/>
      <c r="B492" s="8"/>
      <c r="C492" s="8"/>
      <c r="D492" s="8"/>
      <c r="E492" s="8"/>
      <c r="F492" s="9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24.0" customHeight="1">
      <c r="A493" s="8"/>
      <c r="B493" s="8"/>
      <c r="C493" s="8"/>
      <c r="D493" s="8"/>
      <c r="E493" s="8"/>
      <c r="F493" s="9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24.0" customHeight="1">
      <c r="A494" s="8"/>
      <c r="B494" s="8"/>
      <c r="C494" s="8"/>
      <c r="D494" s="8"/>
      <c r="E494" s="8"/>
      <c r="F494" s="9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24.0" customHeight="1">
      <c r="A495" s="8"/>
      <c r="B495" s="8"/>
      <c r="C495" s="8"/>
      <c r="D495" s="8"/>
      <c r="E495" s="8"/>
      <c r="F495" s="9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24.0" customHeight="1">
      <c r="A496" s="8"/>
      <c r="B496" s="8"/>
      <c r="C496" s="8"/>
      <c r="D496" s="8"/>
      <c r="E496" s="8"/>
      <c r="F496" s="9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24.0" customHeight="1">
      <c r="A497" s="8"/>
      <c r="B497" s="8"/>
      <c r="C497" s="8"/>
      <c r="D497" s="8"/>
      <c r="E497" s="8"/>
      <c r="F497" s="9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24.0" customHeight="1">
      <c r="A498" s="8"/>
      <c r="B498" s="8"/>
      <c r="C498" s="8"/>
      <c r="D498" s="8"/>
      <c r="E498" s="8"/>
      <c r="F498" s="9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24.0" customHeight="1">
      <c r="A499" s="8"/>
      <c r="B499" s="8"/>
      <c r="C499" s="8"/>
      <c r="D499" s="8"/>
      <c r="E499" s="8"/>
      <c r="F499" s="9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24.0" customHeight="1">
      <c r="A500" s="8"/>
      <c r="B500" s="8"/>
      <c r="C500" s="8"/>
      <c r="D500" s="8"/>
      <c r="E500" s="8"/>
      <c r="F500" s="9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24.0" customHeight="1">
      <c r="A501" s="8"/>
      <c r="B501" s="8"/>
      <c r="C501" s="8"/>
      <c r="D501" s="8"/>
      <c r="E501" s="8"/>
      <c r="F501" s="9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24.0" customHeight="1">
      <c r="A502" s="8"/>
      <c r="B502" s="8"/>
      <c r="C502" s="8"/>
      <c r="D502" s="8"/>
      <c r="E502" s="8"/>
      <c r="F502" s="9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24.0" customHeight="1">
      <c r="A503" s="8"/>
      <c r="B503" s="8"/>
      <c r="C503" s="8"/>
      <c r="D503" s="8"/>
      <c r="E503" s="8"/>
      <c r="F503" s="9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24.0" customHeight="1">
      <c r="A504" s="8"/>
      <c r="B504" s="8"/>
      <c r="C504" s="8"/>
      <c r="D504" s="8"/>
      <c r="E504" s="8"/>
      <c r="F504" s="9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24.0" customHeight="1">
      <c r="A505" s="8"/>
      <c r="B505" s="8"/>
      <c r="C505" s="8"/>
      <c r="D505" s="8"/>
      <c r="E505" s="8"/>
      <c r="F505" s="9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24.0" customHeight="1">
      <c r="A506" s="8"/>
      <c r="B506" s="8"/>
      <c r="C506" s="8"/>
      <c r="D506" s="8"/>
      <c r="E506" s="8"/>
      <c r="F506" s="9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24.0" customHeight="1">
      <c r="A507" s="8"/>
      <c r="B507" s="8"/>
      <c r="C507" s="8"/>
      <c r="D507" s="8"/>
      <c r="E507" s="8"/>
      <c r="F507" s="9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24.0" customHeight="1">
      <c r="A508" s="8"/>
      <c r="B508" s="8"/>
      <c r="C508" s="8"/>
      <c r="D508" s="8"/>
      <c r="E508" s="8"/>
      <c r="F508" s="9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24.0" customHeight="1">
      <c r="A509" s="8"/>
      <c r="B509" s="8"/>
      <c r="C509" s="8"/>
      <c r="D509" s="8"/>
      <c r="E509" s="8"/>
      <c r="F509" s="9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24.0" customHeight="1">
      <c r="A510" s="8"/>
      <c r="B510" s="8"/>
      <c r="C510" s="8"/>
      <c r="D510" s="8"/>
      <c r="E510" s="8"/>
      <c r="F510" s="9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24.0" customHeight="1">
      <c r="A511" s="8"/>
      <c r="B511" s="8"/>
      <c r="C511" s="8"/>
      <c r="D511" s="8"/>
      <c r="E511" s="8"/>
      <c r="F511" s="9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24.0" customHeight="1">
      <c r="A512" s="8"/>
      <c r="B512" s="8"/>
      <c r="C512" s="8"/>
      <c r="D512" s="8"/>
      <c r="E512" s="8"/>
      <c r="F512" s="9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24.0" customHeight="1">
      <c r="A513" s="8"/>
      <c r="B513" s="8"/>
      <c r="C513" s="8"/>
      <c r="D513" s="8"/>
      <c r="E513" s="8"/>
      <c r="F513" s="9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24.0" customHeight="1">
      <c r="A514" s="8"/>
      <c r="B514" s="8"/>
      <c r="C514" s="8"/>
      <c r="D514" s="8"/>
      <c r="E514" s="8"/>
      <c r="F514" s="9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24.0" customHeight="1">
      <c r="A515" s="8"/>
      <c r="B515" s="8"/>
      <c r="C515" s="8"/>
      <c r="D515" s="8"/>
      <c r="E515" s="8"/>
      <c r="F515" s="9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24.0" customHeight="1">
      <c r="A516" s="8"/>
      <c r="B516" s="8"/>
      <c r="C516" s="8"/>
      <c r="D516" s="8"/>
      <c r="E516" s="8"/>
      <c r="F516" s="9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24.0" customHeight="1">
      <c r="A517" s="8"/>
      <c r="B517" s="8"/>
      <c r="C517" s="8"/>
      <c r="D517" s="8"/>
      <c r="E517" s="8"/>
      <c r="F517" s="9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24.0" customHeight="1">
      <c r="A518" s="8"/>
      <c r="B518" s="8"/>
      <c r="C518" s="8"/>
      <c r="D518" s="8"/>
      <c r="E518" s="8"/>
      <c r="F518" s="9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24.0" customHeight="1">
      <c r="A519" s="8"/>
      <c r="B519" s="8"/>
      <c r="C519" s="8"/>
      <c r="D519" s="8"/>
      <c r="E519" s="8"/>
      <c r="F519" s="9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24.0" customHeight="1">
      <c r="A520" s="8"/>
      <c r="B520" s="8"/>
      <c r="C520" s="8"/>
      <c r="D520" s="8"/>
      <c r="E520" s="8"/>
      <c r="F520" s="9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24.0" customHeight="1">
      <c r="A521" s="8"/>
      <c r="B521" s="8"/>
      <c r="C521" s="8"/>
      <c r="D521" s="8"/>
      <c r="E521" s="8"/>
      <c r="F521" s="9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24.0" customHeight="1">
      <c r="A522" s="8"/>
      <c r="B522" s="8"/>
      <c r="C522" s="8"/>
      <c r="D522" s="8"/>
      <c r="E522" s="8"/>
      <c r="F522" s="9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24.0" customHeight="1">
      <c r="A523" s="8"/>
      <c r="B523" s="8"/>
      <c r="C523" s="8"/>
      <c r="D523" s="8"/>
      <c r="E523" s="8"/>
      <c r="F523" s="9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24.0" customHeight="1">
      <c r="A524" s="8"/>
      <c r="B524" s="8"/>
      <c r="C524" s="8"/>
      <c r="D524" s="8"/>
      <c r="E524" s="8"/>
      <c r="F524" s="9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24.0" customHeight="1">
      <c r="A525" s="8"/>
      <c r="B525" s="8"/>
      <c r="C525" s="8"/>
      <c r="D525" s="8"/>
      <c r="E525" s="8"/>
      <c r="F525" s="9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24.0" customHeight="1">
      <c r="A526" s="8"/>
      <c r="B526" s="8"/>
      <c r="C526" s="8"/>
      <c r="D526" s="8"/>
      <c r="E526" s="8"/>
      <c r="F526" s="9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24.0" customHeight="1">
      <c r="A527" s="8"/>
      <c r="B527" s="8"/>
      <c r="C527" s="8"/>
      <c r="D527" s="8"/>
      <c r="E527" s="8"/>
      <c r="F527" s="9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24.0" customHeight="1">
      <c r="A528" s="8"/>
      <c r="B528" s="8"/>
      <c r="C528" s="8"/>
      <c r="D528" s="8"/>
      <c r="E528" s="8"/>
      <c r="F528" s="9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24.0" customHeight="1">
      <c r="A529" s="8"/>
      <c r="B529" s="8"/>
      <c r="C529" s="8"/>
      <c r="D529" s="8"/>
      <c r="E529" s="8"/>
      <c r="F529" s="9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24.0" customHeight="1">
      <c r="A530" s="8"/>
      <c r="B530" s="8"/>
      <c r="C530" s="8"/>
      <c r="D530" s="8"/>
      <c r="E530" s="8"/>
      <c r="F530" s="9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24.0" customHeight="1">
      <c r="A531" s="8"/>
      <c r="B531" s="8"/>
      <c r="C531" s="8"/>
      <c r="D531" s="8"/>
      <c r="E531" s="8"/>
      <c r="F531" s="9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24.0" customHeight="1">
      <c r="A532" s="8"/>
      <c r="B532" s="8"/>
      <c r="C532" s="8"/>
      <c r="D532" s="8"/>
      <c r="E532" s="8"/>
      <c r="F532" s="9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24.0" customHeight="1">
      <c r="A533" s="8"/>
      <c r="B533" s="8"/>
      <c r="C533" s="8"/>
      <c r="D533" s="8"/>
      <c r="E533" s="8"/>
      <c r="F533" s="9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24.0" customHeight="1">
      <c r="A534" s="8"/>
      <c r="B534" s="8"/>
      <c r="C534" s="8"/>
      <c r="D534" s="8"/>
      <c r="E534" s="8"/>
      <c r="F534" s="9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24.0" customHeight="1">
      <c r="A535" s="8"/>
      <c r="B535" s="8"/>
      <c r="C535" s="8"/>
      <c r="D535" s="8"/>
      <c r="E535" s="8"/>
      <c r="F535" s="9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24.0" customHeight="1">
      <c r="A536" s="8"/>
      <c r="B536" s="8"/>
      <c r="C536" s="8"/>
      <c r="D536" s="8"/>
      <c r="E536" s="8"/>
      <c r="F536" s="9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24.0" customHeight="1">
      <c r="A537" s="8"/>
      <c r="B537" s="8"/>
      <c r="C537" s="8"/>
      <c r="D537" s="8"/>
      <c r="E537" s="8"/>
      <c r="F537" s="9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24.0" customHeight="1">
      <c r="A538" s="8"/>
      <c r="B538" s="8"/>
      <c r="C538" s="8"/>
      <c r="D538" s="8"/>
      <c r="E538" s="8"/>
      <c r="F538" s="9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24.0" customHeight="1">
      <c r="A539" s="8"/>
      <c r="B539" s="8"/>
      <c r="C539" s="8"/>
      <c r="D539" s="8"/>
      <c r="E539" s="8"/>
      <c r="F539" s="9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24.0" customHeight="1">
      <c r="A540" s="8"/>
      <c r="B540" s="8"/>
      <c r="C540" s="8"/>
      <c r="D540" s="8"/>
      <c r="E540" s="8"/>
      <c r="F540" s="9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24.0" customHeight="1">
      <c r="A541" s="8"/>
      <c r="B541" s="8"/>
      <c r="C541" s="8"/>
      <c r="D541" s="8"/>
      <c r="E541" s="8"/>
      <c r="F541" s="9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24.0" customHeight="1">
      <c r="A542" s="8"/>
      <c r="B542" s="8"/>
      <c r="C542" s="8"/>
      <c r="D542" s="8"/>
      <c r="E542" s="8"/>
      <c r="F542" s="9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24.0" customHeight="1">
      <c r="A543" s="8"/>
      <c r="B543" s="8"/>
      <c r="C543" s="8"/>
      <c r="D543" s="8"/>
      <c r="E543" s="8"/>
      <c r="F543" s="9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24.0" customHeight="1">
      <c r="A544" s="8"/>
      <c r="B544" s="8"/>
      <c r="C544" s="8"/>
      <c r="D544" s="8"/>
      <c r="E544" s="8"/>
      <c r="F544" s="9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24.0" customHeight="1">
      <c r="A545" s="8"/>
      <c r="B545" s="8"/>
      <c r="C545" s="8"/>
      <c r="D545" s="8"/>
      <c r="E545" s="8"/>
      <c r="F545" s="9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24.0" customHeight="1">
      <c r="A546" s="8"/>
      <c r="B546" s="8"/>
      <c r="C546" s="8"/>
      <c r="D546" s="8"/>
      <c r="E546" s="8"/>
      <c r="F546" s="9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24.0" customHeight="1">
      <c r="A547" s="8"/>
      <c r="B547" s="8"/>
      <c r="C547" s="8"/>
      <c r="D547" s="8"/>
      <c r="E547" s="8"/>
      <c r="F547" s="9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24.0" customHeight="1">
      <c r="A548" s="8"/>
      <c r="B548" s="8"/>
      <c r="C548" s="8"/>
      <c r="D548" s="8"/>
      <c r="E548" s="8"/>
      <c r="F548" s="9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24.0" customHeight="1">
      <c r="A549" s="8"/>
      <c r="B549" s="8"/>
      <c r="C549" s="8"/>
      <c r="D549" s="8"/>
      <c r="E549" s="8"/>
      <c r="F549" s="9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24.0" customHeight="1">
      <c r="A550" s="8"/>
      <c r="B550" s="8"/>
      <c r="C550" s="8"/>
      <c r="D550" s="8"/>
      <c r="E550" s="8"/>
      <c r="F550" s="9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24.0" customHeight="1">
      <c r="A551" s="8"/>
      <c r="B551" s="8"/>
      <c r="C551" s="8"/>
      <c r="D551" s="8"/>
      <c r="E551" s="8"/>
      <c r="F551" s="9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24.0" customHeight="1">
      <c r="A552" s="8"/>
      <c r="B552" s="8"/>
      <c r="C552" s="8"/>
      <c r="D552" s="8"/>
      <c r="E552" s="8"/>
      <c r="F552" s="9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24.0" customHeight="1">
      <c r="A553" s="8"/>
      <c r="B553" s="8"/>
      <c r="C553" s="8"/>
      <c r="D553" s="8"/>
      <c r="E553" s="8"/>
      <c r="F553" s="9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24.0" customHeight="1">
      <c r="A554" s="8"/>
      <c r="B554" s="8"/>
      <c r="C554" s="8"/>
      <c r="D554" s="8"/>
      <c r="E554" s="8"/>
      <c r="F554" s="9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24.0" customHeight="1">
      <c r="A555" s="8"/>
      <c r="B555" s="8"/>
      <c r="C555" s="8"/>
      <c r="D555" s="8"/>
      <c r="E555" s="8"/>
      <c r="F555" s="9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24.0" customHeight="1">
      <c r="A556" s="8"/>
      <c r="B556" s="8"/>
      <c r="C556" s="8"/>
      <c r="D556" s="8"/>
      <c r="E556" s="8"/>
      <c r="F556" s="9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24.0" customHeight="1">
      <c r="A557" s="8"/>
      <c r="B557" s="8"/>
      <c r="C557" s="8"/>
      <c r="D557" s="8"/>
      <c r="E557" s="8"/>
      <c r="F557" s="9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24.0" customHeight="1">
      <c r="A558" s="8"/>
      <c r="B558" s="8"/>
      <c r="C558" s="8"/>
      <c r="D558" s="8"/>
      <c r="E558" s="8"/>
      <c r="F558" s="9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24.0" customHeight="1">
      <c r="A559" s="8"/>
      <c r="B559" s="8"/>
      <c r="C559" s="8"/>
      <c r="D559" s="8"/>
      <c r="E559" s="8"/>
      <c r="F559" s="9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24.0" customHeight="1">
      <c r="A560" s="8"/>
      <c r="B560" s="8"/>
      <c r="C560" s="8"/>
      <c r="D560" s="8"/>
      <c r="E560" s="8"/>
      <c r="F560" s="9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24.0" customHeight="1">
      <c r="A561" s="8"/>
      <c r="B561" s="8"/>
      <c r="C561" s="8"/>
      <c r="D561" s="8"/>
      <c r="E561" s="8"/>
      <c r="F561" s="9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24.0" customHeight="1">
      <c r="A562" s="8"/>
      <c r="B562" s="8"/>
      <c r="C562" s="8"/>
      <c r="D562" s="8"/>
      <c r="E562" s="8"/>
      <c r="F562" s="9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24.0" customHeight="1">
      <c r="A563" s="8"/>
      <c r="B563" s="8"/>
      <c r="C563" s="8"/>
      <c r="D563" s="8"/>
      <c r="E563" s="8"/>
      <c r="F563" s="9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24.0" customHeight="1">
      <c r="A564" s="8"/>
      <c r="B564" s="8"/>
      <c r="C564" s="8"/>
      <c r="D564" s="8"/>
      <c r="E564" s="8"/>
      <c r="F564" s="9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24.0" customHeight="1">
      <c r="A565" s="8"/>
      <c r="B565" s="8"/>
      <c r="C565" s="8"/>
      <c r="D565" s="8"/>
      <c r="E565" s="8"/>
      <c r="F565" s="9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24.0" customHeight="1">
      <c r="A566" s="8"/>
      <c r="B566" s="8"/>
      <c r="C566" s="8"/>
      <c r="D566" s="8"/>
      <c r="E566" s="8"/>
      <c r="F566" s="9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24.0" customHeight="1">
      <c r="A567" s="8"/>
      <c r="B567" s="8"/>
      <c r="C567" s="8"/>
      <c r="D567" s="8"/>
      <c r="E567" s="8"/>
      <c r="F567" s="9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24.0" customHeight="1">
      <c r="A568" s="8"/>
      <c r="B568" s="8"/>
      <c r="C568" s="8"/>
      <c r="D568" s="8"/>
      <c r="E568" s="8"/>
      <c r="F568" s="9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24.0" customHeight="1">
      <c r="A569" s="8"/>
      <c r="B569" s="8"/>
      <c r="C569" s="8"/>
      <c r="D569" s="8"/>
      <c r="E569" s="8"/>
      <c r="F569" s="9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24.0" customHeight="1">
      <c r="A570" s="8"/>
      <c r="B570" s="8"/>
      <c r="C570" s="8"/>
      <c r="D570" s="8"/>
      <c r="E570" s="8"/>
      <c r="F570" s="9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24.0" customHeight="1">
      <c r="A571" s="8"/>
      <c r="B571" s="8"/>
      <c r="C571" s="8"/>
      <c r="D571" s="8"/>
      <c r="E571" s="8"/>
      <c r="F571" s="9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24.0" customHeight="1">
      <c r="A572" s="8"/>
      <c r="B572" s="8"/>
      <c r="C572" s="8"/>
      <c r="D572" s="8"/>
      <c r="E572" s="8"/>
      <c r="F572" s="9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24.0" customHeight="1">
      <c r="A573" s="8"/>
      <c r="B573" s="8"/>
      <c r="C573" s="8"/>
      <c r="D573" s="8"/>
      <c r="E573" s="8"/>
      <c r="F573" s="9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24.0" customHeight="1">
      <c r="A574" s="8"/>
      <c r="B574" s="8"/>
      <c r="C574" s="8"/>
      <c r="D574" s="8"/>
      <c r="E574" s="8"/>
      <c r="F574" s="9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24.0" customHeight="1">
      <c r="A575" s="8"/>
      <c r="B575" s="8"/>
      <c r="C575" s="8"/>
      <c r="D575" s="8"/>
      <c r="E575" s="8"/>
      <c r="F575" s="9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24.0" customHeight="1">
      <c r="A576" s="8"/>
      <c r="B576" s="8"/>
      <c r="C576" s="8"/>
      <c r="D576" s="8"/>
      <c r="E576" s="8"/>
      <c r="F576" s="9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24.0" customHeight="1">
      <c r="A577" s="8"/>
      <c r="B577" s="8"/>
      <c r="C577" s="8"/>
      <c r="D577" s="8"/>
      <c r="E577" s="8"/>
      <c r="F577" s="9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24.0" customHeight="1">
      <c r="A578" s="8"/>
      <c r="B578" s="8"/>
      <c r="C578" s="8"/>
      <c r="D578" s="8"/>
      <c r="E578" s="8"/>
      <c r="F578" s="9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24.0" customHeight="1">
      <c r="A579" s="8"/>
      <c r="B579" s="8"/>
      <c r="C579" s="8"/>
      <c r="D579" s="8"/>
      <c r="E579" s="8"/>
      <c r="F579" s="9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24.0" customHeight="1">
      <c r="A580" s="8"/>
      <c r="B580" s="8"/>
      <c r="C580" s="8"/>
      <c r="D580" s="8"/>
      <c r="E580" s="8"/>
      <c r="F580" s="9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24.0" customHeight="1">
      <c r="A581" s="8"/>
      <c r="B581" s="8"/>
      <c r="C581" s="8"/>
      <c r="D581" s="8"/>
      <c r="E581" s="8"/>
      <c r="F581" s="9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24.0" customHeight="1">
      <c r="A582" s="8"/>
      <c r="B582" s="8"/>
      <c r="C582" s="8"/>
      <c r="D582" s="8"/>
      <c r="E582" s="8"/>
      <c r="F582" s="9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24.0" customHeight="1">
      <c r="A583" s="8"/>
      <c r="B583" s="8"/>
      <c r="C583" s="8"/>
      <c r="D583" s="8"/>
      <c r="E583" s="8"/>
      <c r="F583" s="9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24.0" customHeight="1">
      <c r="A584" s="8"/>
      <c r="B584" s="8"/>
      <c r="C584" s="8"/>
      <c r="D584" s="8"/>
      <c r="E584" s="8"/>
      <c r="F584" s="9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24.0" customHeight="1">
      <c r="A585" s="8"/>
      <c r="B585" s="8"/>
      <c r="C585" s="8"/>
      <c r="D585" s="8"/>
      <c r="E585" s="8"/>
      <c r="F585" s="9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24.0" customHeight="1">
      <c r="A586" s="8"/>
      <c r="B586" s="8"/>
      <c r="C586" s="8"/>
      <c r="D586" s="8"/>
      <c r="E586" s="8"/>
      <c r="F586" s="9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24.0" customHeight="1">
      <c r="A587" s="8"/>
      <c r="B587" s="8"/>
      <c r="C587" s="8"/>
      <c r="D587" s="8"/>
      <c r="E587" s="8"/>
      <c r="F587" s="9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24.0" customHeight="1">
      <c r="A588" s="8"/>
      <c r="B588" s="8"/>
      <c r="C588" s="8"/>
      <c r="D588" s="8"/>
      <c r="E588" s="8"/>
      <c r="F588" s="9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24.0" customHeight="1">
      <c r="A589" s="8"/>
      <c r="B589" s="8"/>
      <c r="C589" s="8"/>
      <c r="D589" s="8"/>
      <c r="E589" s="8"/>
      <c r="F589" s="9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24.0" customHeight="1">
      <c r="A590" s="8"/>
      <c r="B590" s="8"/>
      <c r="C590" s="8"/>
      <c r="D590" s="8"/>
      <c r="E590" s="8"/>
      <c r="F590" s="9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24.0" customHeight="1">
      <c r="A591" s="8"/>
      <c r="B591" s="8"/>
      <c r="C591" s="8"/>
      <c r="D591" s="8"/>
      <c r="E591" s="8"/>
      <c r="F591" s="9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24.0" customHeight="1">
      <c r="A592" s="8"/>
      <c r="B592" s="8"/>
      <c r="C592" s="8"/>
      <c r="D592" s="8"/>
      <c r="E592" s="8"/>
      <c r="F592" s="9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24.0" customHeight="1">
      <c r="A593" s="8"/>
      <c r="B593" s="8"/>
      <c r="C593" s="8"/>
      <c r="D593" s="8"/>
      <c r="E593" s="8"/>
      <c r="F593" s="9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24.0" customHeight="1">
      <c r="A594" s="8"/>
      <c r="B594" s="8"/>
      <c r="C594" s="8"/>
      <c r="D594" s="8"/>
      <c r="E594" s="8"/>
      <c r="F594" s="9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24.0" customHeight="1">
      <c r="A595" s="8"/>
      <c r="B595" s="8"/>
      <c r="C595" s="8"/>
      <c r="D595" s="8"/>
      <c r="E595" s="8"/>
      <c r="F595" s="9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24.0" customHeight="1">
      <c r="A596" s="8"/>
      <c r="B596" s="8"/>
      <c r="C596" s="8"/>
      <c r="D596" s="8"/>
      <c r="E596" s="8"/>
      <c r="F596" s="9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24.0" customHeight="1">
      <c r="A597" s="8"/>
      <c r="B597" s="8"/>
      <c r="C597" s="8"/>
      <c r="D597" s="8"/>
      <c r="E597" s="8"/>
      <c r="F597" s="9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24.0" customHeight="1">
      <c r="A598" s="8"/>
      <c r="B598" s="8"/>
      <c r="C598" s="8"/>
      <c r="D598" s="8"/>
      <c r="E598" s="8"/>
      <c r="F598" s="9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24.0" customHeight="1">
      <c r="A599" s="8"/>
      <c r="B599" s="8"/>
      <c r="C599" s="8"/>
      <c r="D599" s="8"/>
      <c r="E599" s="8"/>
      <c r="F599" s="9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24.0" customHeight="1">
      <c r="A600" s="8"/>
      <c r="B600" s="8"/>
      <c r="C600" s="8"/>
      <c r="D600" s="8"/>
      <c r="E600" s="8"/>
      <c r="F600" s="9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24.0" customHeight="1">
      <c r="A601" s="8"/>
      <c r="B601" s="8"/>
      <c r="C601" s="8"/>
      <c r="D601" s="8"/>
      <c r="E601" s="8"/>
      <c r="F601" s="9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24.0" customHeight="1">
      <c r="A602" s="8"/>
      <c r="B602" s="8"/>
      <c r="C602" s="8"/>
      <c r="D602" s="8"/>
      <c r="E602" s="8"/>
      <c r="F602" s="9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24.0" customHeight="1">
      <c r="A603" s="8"/>
      <c r="B603" s="8"/>
      <c r="C603" s="8"/>
      <c r="D603" s="8"/>
      <c r="E603" s="8"/>
      <c r="F603" s="9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24.0" customHeight="1">
      <c r="A604" s="8"/>
      <c r="B604" s="8"/>
      <c r="C604" s="8"/>
      <c r="D604" s="8"/>
      <c r="E604" s="8"/>
      <c r="F604" s="9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24.0" customHeight="1">
      <c r="A605" s="8"/>
      <c r="B605" s="8"/>
      <c r="C605" s="8"/>
      <c r="D605" s="8"/>
      <c r="E605" s="8"/>
      <c r="F605" s="9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24.0" customHeight="1">
      <c r="A606" s="8"/>
      <c r="B606" s="8"/>
      <c r="C606" s="8"/>
      <c r="D606" s="8"/>
      <c r="E606" s="8"/>
      <c r="F606" s="9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24.0" customHeight="1">
      <c r="A607" s="8"/>
      <c r="B607" s="8"/>
      <c r="C607" s="8"/>
      <c r="D607" s="8"/>
      <c r="E607" s="8"/>
      <c r="F607" s="9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24.0" customHeight="1">
      <c r="A608" s="8"/>
      <c r="B608" s="8"/>
      <c r="C608" s="8"/>
      <c r="D608" s="8"/>
      <c r="E608" s="8"/>
      <c r="F608" s="9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24.0" customHeight="1">
      <c r="A609" s="8"/>
      <c r="B609" s="8"/>
      <c r="C609" s="8"/>
      <c r="D609" s="8"/>
      <c r="E609" s="8"/>
      <c r="F609" s="9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24.0" customHeight="1">
      <c r="A610" s="8"/>
      <c r="B610" s="8"/>
      <c r="C610" s="8"/>
      <c r="D610" s="8"/>
      <c r="E610" s="8"/>
      <c r="F610" s="9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24.0" customHeight="1">
      <c r="A611" s="8"/>
      <c r="B611" s="8"/>
      <c r="C611" s="8"/>
      <c r="D611" s="8"/>
      <c r="E611" s="8"/>
      <c r="F611" s="9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24.0" customHeight="1">
      <c r="A612" s="8"/>
      <c r="B612" s="8"/>
      <c r="C612" s="8"/>
      <c r="D612" s="8"/>
      <c r="E612" s="8"/>
      <c r="F612" s="9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24.0" customHeight="1">
      <c r="A613" s="8"/>
      <c r="B613" s="8"/>
      <c r="C613" s="8"/>
      <c r="D613" s="8"/>
      <c r="E613" s="8"/>
      <c r="F613" s="9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24.0" customHeight="1">
      <c r="A614" s="8"/>
      <c r="B614" s="8"/>
      <c r="C614" s="8"/>
      <c r="D614" s="8"/>
      <c r="E614" s="8"/>
      <c r="F614" s="9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24.0" customHeight="1">
      <c r="A615" s="8"/>
      <c r="B615" s="8"/>
      <c r="C615" s="8"/>
      <c r="D615" s="8"/>
      <c r="E615" s="8"/>
      <c r="F615" s="9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24.0" customHeight="1">
      <c r="A616" s="8"/>
      <c r="B616" s="8"/>
      <c r="C616" s="8"/>
      <c r="D616" s="8"/>
      <c r="E616" s="8"/>
      <c r="F616" s="9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24.0" customHeight="1">
      <c r="A617" s="8"/>
      <c r="B617" s="8"/>
      <c r="C617" s="8"/>
      <c r="D617" s="8"/>
      <c r="E617" s="8"/>
      <c r="F617" s="9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24.0" customHeight="1">
      <c r="A618" s="8"/>
      <c r="B618" s="8"/>
      <c r="C618" s="8"/>
      <c r="D618" s="8"/>
      <c r="E618" s="8"/>
      <c r="F618" s="9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24.0" customHeight="1">
      <c r="A619" s="8"/>
      <c r="B619" s="8"/>
      <c r="C619" s="8"/>
      <c r="D619" s="8"/>
      <c r="E619" s="8"/>
      <c r="F619" s="9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24.0" customHeight="1">
      <c r="A620" s="8"/>
      <c r="B620" s="8"/>
      <c r="C620" s="8"/>
      <c r="D620" s="8"/>
      <c r="E620" s="8"/>
      <c r="F620" s="9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24.0" customHeight="1">
      <c r="A621" s="8"/>
      <c r="B621" s="8"/>
      <c r="C621" s="8"/>
      <c r="D621" s="8"/>
      <c r="E621" s="8"/>
      <c r="F621" s="9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24.0" customHeight="1">
      <c r="A622" s="8"/>
      <c r="B622" s="8"/>
      <c r="C622" s="8"/>
      <c r="D622" s="8"/>
      <c r="E622" s="8"/>
      <c r="F622" s="9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24.0" customHeight="1">
      <c r="A623" s="8"/>
      <c r="B623" s="8"/>
      <c r="C623" s="8"/>
      <c r="D623" s="8"/>
      <c r="E623" s="8"/>
      <c r="F623" s="9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24.0" customHeight="1">
      <c r="A624" s="8"/>
      <c r="B624" s="8"/>
      <c r="C624" s="8"/>
      <c r="D624" s="8"/>
      <c r="E624" s="8"/>
      <c r="F624" s="9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24.0" customHeight="1">
      <c r="A625" s="8"/>
      <c r="B625" s="8"/>
      <c r="C625" s="8"/>
      <c r="D625" s="8"/>
      <c r="E625" s="8"/>
      <c r="F625" s="9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24.0" customHeight="1">
      <c r="A626" s="8"/>
      <c r="B626" s="8"/>
      <c r="C626" s="8"/>
      <c r="D626" s="8"/>
      <c r="E626" s="8"/>
      <c r="F626" s="9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24.0" customHeight="1">
      <c r="A627" s="8"/>
      <c r="B627" s="8"/>
      <c r="C627" s="8"/>
      <c r="D627" s="8"/>
      <c r="E627" s="8"/>
      <c r="F627" s="9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24.0" customHeight="1">
      <c r="A628" s="8"/>
      <c r="B628" s="8"/>
      <c r="C628" s="8"/>
      <c r="D628" s="8"/>
      <c r="E628" s="8"/>
      <c r="F628" s="9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24.0" customHeight="1">
      <c r="A629" s="8"/>
      <c r="B629" s="8"/>
      <c r="C629" s="8"/>
      <c r="D629" s="8"/>
      <c r="E629" s="8"/>
      <c r="F629" s="9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24.0" customHeight="1">
      <c r="A630" s="8"/>
      <c r="B630" s="8"/>
      <c r="C630" s="8"/>
      <c r="D630" s="8"/>
      <c r="E630" s="8"/>
      <c r="F630" s="9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24.0" customHeight="1">
      <c r="A631" s="8"/>
      <c r="B631" s="8"/>
      <c r="C631" s="8"/>
      <c r="D631" s="8"/>
      <c r="E631" s="8"/>
      <c r="F631" s="9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24.0" customHeight="1">
      <c r="A632" s="8"/>
      <c r="B632" s="8"/>
      <c r="C632" s="8"/>
      <c r="D632" s="8"/>
      <c r="E632" s="8"/>
      <c r="F632" s="9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24.0" customHeight="1">
      <c r="A633" s="8"/>
      <c r="B633" s="8"/>
      <c r="C633" s="8"/>
      <c r="D633" s="8"/>
      <c r="E633" s="8"/>
      <c r="F633" s="9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24.0" customHeight="1">
      <c r="A634" s="8"/>
      <c r="B634" s="8"/>
      <c r="C634" s="8"/>
      <c r="D634" s="8"/>
      <c r="E634" s="8"/>
      <c r="F634" s="9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24.0" customHeight="1">
      <c r="A635" s="8"/>
      <c r="B635" s="8"/>
      <c r="C635" s="8"/>
      <c r="D635" s="8"/>
      <c r="E635" s="8"/>
      <c r="F635" s="9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24.0" customHeight="1">
      <c r="A636" s="8"/>
      <c r="B636" s="8"/>
      <c r="C636" s="8"/>
      <c r="D636" s="8"/>
      <c r="E636" s="8"/>
      <c r="F636" s="9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24.0" customHeight="1">
      <c r="A637" s="8"/>
      <c r="B637" s="8"/>
      <c r="C637" s="8"/>
      <c r="D637" s="8"/>
      <c r="E637" s="8"/>
      <c r="F637" s="9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24.0" customHeight="1">
      <c r="A638" s="8"/>
      <c r="B638" s="8"/>
      <c r="C638" s="8"/>
      <c r="D638" s="8"/>
      <c r="E638" s="8"/>
      <c r="F638" s="9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24.0" customHeight="1">
      <c r="A639" s="8"/>
      <c r="B639" s="8"/>
      <c r="C639" s="8"/>
      <c r="D639" s="8"/>
      <c r="E639" s="8"/>
      <c r="F639" s="9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24.0" customHeight="1">
      <c r="A640" s="8"/>
      <c r="B640" s="8"/>
      <c r="C640" s="8"/>
      <c r="D640" s="8"/>
      <c r="E640" s="8"/>
      <c r="F640" s="9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24.0" customHeight="1">
      <c r="A641" s="8"/>
      <c r="B641" s="8"/>
      <c r="C641" s="8"/>
      <c r="D641" s="8"/>
      <c r="E641" s="8"/>
      <c r="F641" s="9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24.0" customHeight="1">
      <c r="A642" s="8"/>
      <c r="B642" s="8"/>
      <c r="C642" s="8"/>
      <c r="D642" s="8"/>
      <c r="E642" s="8"/>
      <c r="F642" s="9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24.0" customHeight="1">
      <c r="A643" s="8"/>
      <c r="B643" s="8"/>
      <c r="C643" s="8"/>
      <c r="D643" s="8"/>
      <c r="E643" s="8"/>
      <c r="F643" s="9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24.0" customHeight="1">
      <c r="A644" s="8"/>
      <c r="B644" s="8"/>
      <c r="C644" s="8"/>
      <c r="D644" s="8"/>
      <c r="E644" s="8"/>
      <c r="F644" s="9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24.0" customHeight="1">
      <c r="A645" s="8"/>
      <c r="B645" s="8"/>
      <c r="C645" s="8"/>
      <c r="D645" s="8"/>
      <c r="E645" s="8"/>
      <c r="F645" s="9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24.0" customHeight="1">
      <c r="A646" s="8"/>
      <c r="B646" s="8"/>
      <c r="C646" s="8"/>
      <c r="D646" s="8"/>
      <c r="E646" s="8"/>
      <c r="F646" s="9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24.0" customHeight="1">
      <c r="A647" s="8"/>
      <c r="B647" s="8"/>
      <c r="C647" s="8"/>
      <c r="D647" s="8"/>
      <c r="E647" s="8"/>
      <c r="F647" s="9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24.0" customHeight="1">
      <c r="A648" s="8"/>
      <c r="B648" s="8"/>
      <c r="C648" s="8"/>
      <c r="D648" s="8"/>
      <c r="E648" s="8"/>
      <c r="F648" s="9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24.0" customHeight="1">
      <c r="A649" s="8"/>
      <c r="B649" s="8"/>
      <c r="C649" s="8"/>
      <c r="D649" s="8"/>
      <c r="E649" s="8"/>
      <c r="F649" s="9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24.0" customHeight="1">
      <c r="A650" s="8"/>
      <c r="B650" s="8"/>
      <c r="C650" s="8"/>
      <c r="D650" s="8"/>
      <c r="E650" s="8"/>
      <c r="F650" s="9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24.0" customHeight="1">
      <c r="A651" s="8"/>
      <c r="B651" s="8"/>
      <c r="C651" s="8"/>
      <c r="D651" s="8"/>
      <c r="E651" s="8"/>
      <c r="F651" s="9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24.0" customHeight="1">
      <c r="A652" s="8"/>
      <c r="B652" s="8"/>
      <c r="C652" s="8"/>
      <c r="D652" s="8"/>
      <c r="E652" s="8"/>
      <c r="F652" s="9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24.0" customHeight="1">
      <c r="A653" s="8"/>
      <c r="B653" s="8"/>
      <c r="C653" s="8"/>
      <c r="D653" s="8"/>
      <c r="E653" s="8"/>
      <c r="F653" s="9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24.0" customHeight="1">
      <c r="A654" s="8"/>
      <c r="B654" s="8"/>
      <c r="C654" s="8"/>
      <c r="D654" s="8"/>
      <c r="E654" s="8"/>
      <c r="F654" s="9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24.0" customHeight="1">
      <c r="A655" s="8"/>
      <c r="B655" s="8"/>
      <c r="C655" s="8"/>
      <c r="D655" s="8"/>
      <c r="E655" s="8"/>
      <c r="F655" s="9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24.0" customHeight="1">
      <c r="A656" s="8"/>
      <c r="B656" s="8"/>
      <c r="C656" s="8"/>
      <c r="D656" s="8"/>
      <c r="E656" s="8"/>
      <c r="F656" s="9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24.0" customHeight="1">
      <c r="A657" s="8"/>
      <c r="B657" s="8"/>
      <c r="C657" s="8"/>
      <c r="D657" s="8"/>
      <c r="E657" s="8"/>
      <c r="F657" s="9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24.0" customHeight="1">
      <c r="A658" s="8"/>
      <c r="B658" s="8"/>
      <c r="C658" s="8"/>
      <c r="D658" s="8"/>
      <c r="E658" s="8"/>
      <c r="F658" s="9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24.0" customHeight="1">
      <c r="A659" s="8"/>
      <c r="B659" s="8"/>
      <c r="C659" s="8"/>
      <c r="D659" s="8"/>
      <c r="E659" s="8"/>
      <c r="F659" s="9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24.0" customHeight="1">
      <c r="A660" s="8"/>
      <c r="B660" s="8"/>
      <c r="C660" s="8"/>
      <c r="D660" s="8"/>
      <c r="E660" s="8"/>
      <c r="F660" s="9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24.0" customHeight="1">
      <c r="A661" s="8"/>
      <c r="B661" s="8"/>
      <c r="C661" s="8"/>
      <c r="D661" s="8"/>
      <c r="E661" s="8"/>
      <c r="F661" s="9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24.0" customHeight="1">
      <c r="A662" s="8"/>
      <c r="B662" s="8"/>
      <c r="C662" s="8"/>
      <c r="D662" s="8"/>
      <c r="E662" s="8"/>
      <c r="F662" s="9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24.0" customHeight="1">
      <c r="A663" s="8"/>
      <c r="B663" s="8"/>
      <c r="C663" s="8"/>
      <c r="D663" s="8"/>
      <c r="E663" s="8"/>
      <c r="F663" s="9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24.0" customHeight="1">
      <c r="A664" s="8"/>
      <c r="B664" s="8"/>
      <c r="C664" s="8"/>
      <c r="D664" s="8"/>
      <c r="E664" s="8"/>
      <c r="F664" s="9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24.0" customHeight="1">
      <c r="A665" s="8"/>
      <c r="B665" s="8"/>
      <c r="C665" s="8"/>
      <c r="D665" s="8"/>
      <c r="E665" s="8"/>
      <c r="F665" s="9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24.0" customHeight="1">
      <c r="A666" s="8"/>
      <c r="B666" s="8"/>
      <c r="C666" s="8"/>
      <c r="D666" s="8"/>
      <c r="E666" s="8"/>
      <c r="F666" s="9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24.0" customHeight="1">
      <c r="A667" s="8"/>
      <c r="B667" s="8"/>
      <c r="C667" s="8"/>
      <c r="D667" s="8"/>
      <c r="E667" s="8"/>
      <c r="F667" s="9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24.0" customHeight="1">
      <c r="A668" s="8"/>
      <c r="B668" s="8"/>
      <c r="C668" s="8"/>
      <c r="D668" s="8"/>
      <c r="E668" s="8"/>
      <c r="F668" s="9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24.0" customHeight="1">
      <c r="A669" s="8"/>
      <c r="B669" s="8"/>
      <c r="C669" s="8"/>
      <c r="D669" s="8"/>
      <c r="E669" s="8"/>
      <c r="F669" s="9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24.0" customHeight="1">
      <c r="A670" s="8"/>
      <c r="B670" s="8"/>
      <c r="C670" s="8"/>
      <c r="D670" s="8"/>
      <c r="E670" s="8"/>
      <c r="F670" s="9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24.0" customHeight="1">
      <c r="A671" s="8"/>
      <c r="B671" s="8"/>
      <c r="C671" s="8"/>
      <c r="D671" s="8"/>
      <c r="E671" s="8"/>
      <c r="F671" s="9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24.0" customHeight="1">
      <c r="A672" s="8"/>
      <c r="B672" s="8"/>
      <c r="C672" s="8"/>
      <c r="D672" s="8"/>
      <c r="E672" s="8"/>
      <c r="F672" s="9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24.0" customHeight="1">
      <c r="A673" s="8"/>
      <c r="B673" s="8"/>
      <c r="C673" s="8"/>
      <c r="D673" s="8"/>
      <c r="E673" s="8"/>
      <c r="F673" s="9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24.0" customHeight="1">
      <c r="A674" s="8"/>
      <c r="B674" s="8"/>
      <c r="C674" s="8"/>
      <c r="D674" s="8"/>
      <c r="E674" s="8"/>
      <c r="F674" s="9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24.0" customHeight="1">
      <c r="A675" s="8"/>
      <c r="B675" s="8"/>
      <c r="C675" s="8"/>
      <c r="D675" s="8"/>
      <c r="E675" s="8"/>
      <c r="F675" s="9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24.0" customHeight="1">
      <c r="A676" s="8"/>
      <c r="B676" s="8"/>
      <c r="C676" s="8"/>
      <c r="D676" s="8"/>
      <c r="E676" s="8"/>
      <c r="F676" s="9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24.0" customHeight="1">
      <c r="A677" s="8"/>
      <c r="B677" s="8"/>
      <c r="C677" s="8"/>
      <c r="D677" s="8"/>
      <c r="E677" s="8"/>
      <c r="F677" s="9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24.0" customHeight="1">
      <c r="A678" s="8"/>
      <c r="B678" s="8"/>
      <c r="C678" s="8"/>
      <c r="D678" s="8"/>
      <c r="E678" s="8"/>
      <c r="F678" s="9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24.0" customHeight="1">
      <c r="A679" s="8"/>
      <c r="B679" s="8"/>
      <c r="C679" s="8"/>
      <c r="D679" s="8"/>
      <c r="E679" s="8"/>
      <c r="F679" s="9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24.0" customHeight="1">
      <c r="A680" s="8"/>
      <c r="B680" s="8"/>
      <c r="C680" s="8"/>
      <c r="D680" s="8"/>
      <c r="E680" s="8"/>
      <c r="F680" s="9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24.0" customHeight="1">
      <c r="A681" s="8"/>
      <c r="B681" s="8"/>
      <c r="C681" s="8"/>
      <c r="D681" s="8"/>
      <c r="E681" s="8"/>
      <c r="F681" s="9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24.0" customHeight="1">
      <c r="A682" s="8"/>
      <c r="B682" s="8"/>
      <c r="C682" s="8"/>
      <c r="D682" s="8"/>
      <c r="E682" s="8"/>
      <c r="F682" s="9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24.0" customHeight="1">
      <c r="A683" s="8"/>
      <c r="B683" s="8"/>
      <c r="C683" s="8"/>
      <c r="D683" s="8"/>
      <c r="E683" s="8"/>
      <c r="F683" s="9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24.0" customHeight="1">
      <c r="A684" s="8"/>
      <c r="B684" s="8"/>
      <c r="C684" s="8"/>
      <c r="D684" s="8"/>
      <c r="E684" s="8"/>
      <c r="F684" s="9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24.0" customHeight="1">
      <c r="A685" s="8"/>
      <c r="B685" s="8"/>
      <c r="C685" s="8"/>
      <c r="D685" s="8"/>
      <c r="E685" s="8"/>
      <c r="F685" s="9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24.0" customHeight="1">
      <c r="A686" s="8"/>
      <c r="B686" s="8"/>
      <c r="C686" s="8"/>
      <c r="D686" s="8"/>
      <c r="E686" s="8"/>
      <c r="F686" s="9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24.0" customHeight="1">
      <c r="A687" s="8"/>
      <c r="B687" s="8"/>
      <c r="C687" s="8"/>
      <c r="D687" s="8"/>
      <c r="E687" s="8"/>
      <c r="F687" s="9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24.0" customHeight="1">
      <c r="A688" s="8"/>
      <c r="B688" s="8"/>
      <c r="C688" s="8"/>
      <c r="D688" s="8"/>
      <c r="E688" s="8"/>
      <c r="F688" s="9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24.0" customHeight="1">
      <c r="A689" s="8"/>
      <c r="B689" s="8"/>
      <c r="C689" s="8"/>
      <c r="D689" s="8"/>
      <c r="E689" s="8"/>
      <c r="F689" s="9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24.0" customHeight="1">
      <c r="A690" s="8"/>
      <c r="B690" s="8"/>
      <c r="C690" s="8"/>
      <c r="D690" s="8"/>
      <c r="E690" s="8"/>
      <c r="F690" s="9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24.0" customHeight="1">
      <c r="A691" s="8"/>
      <c r="B691" s="8"/>
      <c r="C691" s="8"/>
      <c r="D691" s="8"/>
      <c r="E691" s="8"/>
      <c r="F691" s="9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24.0" customHeight="1">
      <c r="A692" s="8"/>
      <c r="B692" s="8"/>
      <c r="C692" s="8"/>
      <c r="D692" s="8"/>
      <c r="E692" s="8"/>
      <c r="F692" s="9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24.0" customHeight="1">
      <c r="A693" s="8"/>
      <c r="B693" s="8"/>
      <c r="C693" s="8"/>
      <c r="D693" s="8"/>
      <c r="E693" s="8"/>
      <c r="F693" s="9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24.0" customHeight="1">
      <c r="A694" s="8"/>
      <c r="B694" s="8"/>
      <c r="C694" s="8"/>
      <c r="D694" s="8"/>
      <c r="E694" s="8"/>
      <c r="F694" s="9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24.0" customHeight="1">
      <c r="A695" s="8"/>
      <c r="B695" s="8"/>
      <c r="C695" s="8"/>
      <c r="D695" s="8"/>
      <c r="E695" s="8"/>
      <c r="F695" s="9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24.0" customHeight="1">
      <c r="A696" s="8"/>
      <c r="B696" s="8"/>
      <c r="C696" s="8"/>
      <c r="D696" s="8"/>
      <c r="E696" s="8"/>
      <c r="F696" s="9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24.0" customHeight="1">
      <c r="A697" s="8"/>
      <c r="B697" s="8"/>
      <c r="C697" s="8"/>
      <c r="D697" s="8"/>
      <c r="E697" s="8"/>
      <c r="F697" s="9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24.0" customHeight="1">
      <c r="A698" s="8"/>
      <c r="B698" s="8"/>
      <c r="C698" s="8"/>
      <c r="D698" s="8"/>
      <c r="E698" s="8"/>
      <c r="F698" s="9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24.0" customHeight="1">
      <c r="A699" s="8"/>
      <c r="B699" s="8"/>
      <c r="C699" s="8"/>
      <c r="D699" s="8"/>
      <c r="E699" s="8"/>
      <c r="F699" s="9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24.0" customHeight="1">
      <c r="A700" s="8"/>
      <c r="B700" s="8"/>
      <c r="C700" s="8"/>
      <c r="D700" s="8"/>
      <c r="E700" s="8"/>
      <c r="F700" s="9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24.0" customHeight="1">
      <c r="A701" s="8"/>
      <c r="B701" s="8"/>
      <c r="C701" s="8"/>
      <c r="D701" s="8"/>
      <c r="E701" s="8"/>
      <c r="F701" s="9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24.0" customHeight="1">
      <c r="A702" s="8"/>
      <c r="B702" s="8"/>
      <c r="C702" s="8"/>
      <c r="D702" s="8"/>
      <c r="E702" s="8"/>
      <c r="F702" s="9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24.0" customHeight="1">
      <c r="A703" s="8"/>
      <c r="B703" s="8"/>
      <c r="C703" s="8"/>
      <c r="D703" s="8"/>
      <c r="E703" s="8"/>
      <c r="F703" s="9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24.0" customHeight="1">
      <c r="A704" s="8"/>
      <c r="B704" s="8"/>
      <c r="C704" s="8"/>
      <c r="D704" s="8"/>
      <c r="E704" s="8"/>
      <c r="F704" s="9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24.0" customHeight="1">
      <c r="A705" s="8"/>
      <c r="B705" s="8"/>
      <c r="C705" s="8"/>
      <c r="D705" s="8"/>
      <c r="E705" s="8"/>
      <c r="F705" s="9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24.0" customHeight="1">
      <c r="A706" s="8"/>
      <c r="B706" s="8"/>
      <c r="C706" s="8"/>
      <c r="D706" s="8"/>
      <c r="E706" s="8"/>
      <c r="F706" s="9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24.0" customHeight="1">
      <c r="A707" s="8"/>
      <c r="B707" s="8"/>
      <c r="C707" s="8"/>
      <c r="D707" s="8"/>
      <c r="E707" s="8"/>
      <c r="F707" s="9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24.0" customHeight="1">
      <c r="A708" s="8"/>
      <c r="B708" s="8"/>
      <c r="C708" s="8"/>
      <c r="D708" s="8"/>
      <c r="E708" s="8"/>
      <c r="F708" s="9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24.0" customHeight="1">
      <c r="A709" s="8"/>
      <c r="B709" s="8"/>
      <c r="C709" s="8"/>
      <c r="D709" s="8"/>
      <c r="E709" s="8"/>
      <c r="F709" s="9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24.0" customHeight="1">
      <c r="A710" s="8"/>
      <c r="B710" s="8"/>
      <c r="C710" s="8"/>
      <c r="D710" s="8"/>
      <c r="E710" s="8"/>
      <c r="F710" s="9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24.0" customHeight="1">
      <c r="A711" s="8"/>
      <c r="B711" s="8"/>
      <c r="C711" s="8"/>
      <c r="D711" s="8"/>
      <c r="E711" s="8"/>
      <c r="F711" s="9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24.0" customHeight="1">
      <c r="A712" s="8"/>
      <c r="B712" s="8"/>
      <c r="C712" s="8"/>
      <c r="D712" s="8"/>
      <c r="E712" s="8"/>
      <c r="F712" s="9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24.0" customHeight="1">
      <c r="A713" s="8"/>
      <c r="B713" s="8"/>
      <c r="C713" s="8"/>
      <c r="D713" s="8"/>
      <c r="E713" s="8"/>
      <c r="F713" s="9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24.0" customHeight="1">
      <c r="A714" s="8"/>
      <c r="B714" s="8"/>
      <c r="C714" s="8"/>
      <c r="D714" s="8"/>
      <c r="E714" s="8"/>
      <c r="F714" s="9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24.0" customHeight="1">
      <c r="A715" s="8"/>
      <c r="B715" s="8"/>
      <c r="C715" s="8"/>
      <c r="D715" s="8"/>
      <c r="E715" s="8"/>
      <c r="F715" s="9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24.0" customHeight="1">
      <c r="A716" s="8"/>
      <c r="B716" s="8"/>
      <c r="C716" s="8"/>
      <c r="D716" s="8"/>
      <c r="E716" s="8"/>
      <c r="F716" s="9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24.0" customHeight="1">
      <c r="A717" s="8"/>
      <c r="B717" s="8"/>
      <c r="C717" s="8"/>
      <c r="D717" s="8"/>
      <c r="E717" s="8"/>
      <c r="F717" s="9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24.0" customHeight="1">
      <c r="A718" s="8"/>
      <c r="B718" s="8"/>
      <c r="C718" s="8"/>
      <c r="D718" s="8"/>
      <c r="E718" s="8"/>
      <c r="F718" s="9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24.0" customHeight="1">
      <c r="A719" s="8"/>
      <c r="B719" s="8"/>
      <c r="C719" s="8"/>
      <c r="D719" s="8"/>
      <c r="E719" s="8"/>
      <c r="F719" s="9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24.0" customHeight="1">
      <c r="A720" s="8"/>
      <c r="B720" s="8"/>
      <c r="C720" s="8"/>
      <c r="D720" s="8"/>
      <c r="E720" s="8"/>
      <c r="F720" s="9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24.0" customHeight="1">
      <c r="A721" s="8"/>
      <c r="B721" s="8"/>
      <c r="C721" s="8"/>
      <c r="D721" s="8"/>
      <c r="E721" s="8"/>
      <c r="F721" s="9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24.0" customHeight="1">
      <c r="A722" s="8"/>
      <c r="B722" s="8"/>
      <c r="C722" s="8"/>
      <c r="D722" s="8"/>
      <c r="E722" s="8"/>
      <c r="F722" s="9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24.0" customHeight="1">
      <c r="A723" s="8"/>
      <c r="B723" s="8"/>
      <c r="C723" s="8"/>
      <c r="D723" s="8"/>
      <c r="E723" s="8"/>
      <c r="F723" s="9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24.0" customHeight="1">
      <c r="A724" s="8"/>
      <c r="B724" s="8"/>
      <c r="C724" s="8"/>
      <c r="D724" s="8"/>
      <c r="E724" s="8"/>
      <c r="F724" s="9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24.0" customHeight="1">
      <c r="A725" s="8"/>
      <c r="B725" s="8"/>
      <c r="C725" s="8"/>
      <c r="D725" s="8"/>
      <c r="E725" s="8"/>
      <c r="F725" s="9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24.0" customHeight="1">
      <c r="A726" s="8"/>
      <c r="B726" s="8"/>
      <c r="C726" s="8"/>
      <c r="D726" s="8"/>
      <c r="E726" s="8"/>
      <c r="F726" s="9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24.0" customHeight="1">
      <c r="A727" s="8"/>
      <c r="B727" s="8"/>
      <c r="C727" s="8"/>
      <c r="D727" s="8"/>
      <c r="E727" s="8"/>
      <c r="F727" s="9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24.0" customHeight="1">
      <c r="A728" s="8"/>
      <c r="B728" s="8"/>
      <c r="C728" s="8"/>
      <c r="D728" s="8"/>
      <c r="E728" s="8"/>
      <c r="F728" s="9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24.0" customHeight="1">
      <c r="A729" s="8"/>
      <c r="B729" s="8"/>
      <c r="C729" s="8"/>
      <c r="D729" s="8"/>
      <c r="E729" s="8"/>
      <c r="F729" s="9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24.0" customHeight="1">
      <c r="A730" s="8"/>
      <c r="B730" s="8"/>
      <c r="C730" s="8"/>
      <c r="D730" s="8"/>
      <c r="E730" s="8"/>
      <c r="F730" s="9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24.0" customHeight="1">
      <c r="A731" s="8"/>
      <c r="B731" s="8"/>
      <c r="C731" s="8"/>
      <c r="D731" s="8"/>
      <c r="E731" s="8"/>
      <c r="F731" s="9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24.0" customHeight="1">
      <c r="A732" s="8"/>
      <c r="B732" s="8"/>
      <c r="C732" s="8"/>
      <c r="D732" s="8"/>
      <c r="E732" s="8"/>
      <c r="F732" s="9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24.0" customHeight="1">
      <c r="A733" s="8"/>
      <c r="B733" s="8"/>
      <c r="C733" s="8"/>
      <c r="D733" s="8"/>
      <c r="E733" s="8"/>
      <c r="F733" s="9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24.0" customHeight="1">
      <c r="A734" s="8"/>
      <c r="B734" s="8"/>
      <c r="C734" s="8"/>
      <c r="D734" s="8"/>
      <c r="E734" s="8"/>
      <c r="F734" s="9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24.0" customHeight="1">
      <c r="A735" s="8"/>
      <c r="B735" s="8"/>
      <c r="C735" s="8"/>
      <c r="D735" s="8"/>
      <c r="E735" s="8"/>
      <c r="F735" s="9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24.0" customHeight="1">
      <c r="A736" s="8"/>
      <c r="B736" s="8"/>
      <c r="C736" s="8"/>
      <c r="D736" s="8"/>
      <c r="E736" s="8"/>
      <c r="F736" s="9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24.0" customHeight="1">
      <c r="A737" s="8"/>
      <c r="B737" s="8"/>
      <c r="C737" s="8"/>
      <c r="D737" s="8"/>
      <c r="E737" s="8"/>
      <c r="F737" s="9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24.0" customHeight="1">
      <c r="A738" s="8"/>
      <c r="B738" s="8"/>
      <c r="C738" s="8"/>
      <c r="D738" s="8"/>
      <c r="E738" s="8"/>
      <c r="F738" s="9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24.0" customHeight="1">
      <c r="A739" s="8"/>
      <c r="B739" s="8"/>
      <c r="C739" s="8"/>
      <c r="D739" s="8"/>
      <c r="E739" s="8"/>
      <c r="F739" s="9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24.0" customHeight="1">
      <c r="A740" s="8"/>
      <c r="B740" s="8"/>
      <c r="C740" s="8"/>
      <c r="D740" s="8"/>
      <c r="E740" s="8"/>
      <c r="F740" s="9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24.0" customHeight="1">
      <c r="A741" s="8"/>
      <c r="B741" s="8"/>
      <c r="C741" s="8"/>
      <c r="D741" s="8"/>
      <c r="E741" s="8"/>
      <c r="F741" s="9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24.0" customHeight="1">
      <c r="A742" s="8"/>
      <c r="B742" s="8"/>
      <c r="C742" s="8"/>
      <c r="D742" s="8"/>
      <c r="E742" s="8"/>
      <c r="F742" s="9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24.0" customHeight="1">
      <c r="A743" s="8"/>
      <c r="B743" s="8"/>
      <c r="C743" s="8"/>
      <c r="D743" s="8"/>
      <c r="E743" s="8"/>
      <c r="F743" s="9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24.0" customHeight="1">
      <c r="A744" s="8"/>
      <c r="B744" s="8"/>
      <c r="C744" s="8"/>
      <c r="D744" s="8"/>
      <c r="E744" s="8"/>
      <c r="F744" s="9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24.0" customHeight="1">
      <c r="A745" s="8"/>
      <c r="B745" s="8"/>
      <c r="C745" s="8"/>
      <c r="D745" s="8"/>
      <c r="E745" s="8"/>
      <c r="F745" s="9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24.0" customHeight="1">
      <c r="A746" s="8"/>
      <c r="B746" s="8"/>
      <c r="C746" s="8"/>
      <c r="D746" s="8"/>
      <c r="E746" s="8"/>
      <c r="F746" s="9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24.0" customHeight="1">
      <c r="A747" s="8"/>
      <c r="B747" s="8"/>
      <c r="C747" s="8"/>
      <c r="D747" s="8"/>
      <c r="E747" s="8"/>
      <c r="F747" s="9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24.0" customHeight="1">
      <c r="A748" s="8"/>
      <c r="B748" s="8"/>
      <c r="C748" s="8"/>
      <c r="D748" s="8"/>
      <c r="E748" s="8"/>
      <c r="F748" s="9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24.0" customHeight="1">
      <c r="A749" s="8"/>
      <c r="B749" s="8"/>
      <c r="C749" s="8"/>
      <c r="D749" s="8"/>
      <c r="E749" s="8"/>
      <c r="F749" s="9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24.0" customHeight="1">
      <c r="A750" s="8"/>
      <c r="B750" s="8"/>
      <c r="C750" s="8"/>
      <c r="D750" s="8"/>
      <c r="E750" s="8"/>
      <c r="F750" s="9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24.0" customHeight="1">
      <c r="A751" s="8"/>
      <c r="B751" s="8"/>
      <c r="C751" s="8"/>
      <c r="D751" s="8"/>
      <c r="E751" s="8"/>
      <c r="F751" s="9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24.0" customHeight="1">
      <c r="A752" s="8"/>
      <c r="B752" s="8"/>
      <c r="C752" s="8"/>
      <c r="D752" s="8"/>
      <c r="E752" s="8"/>
      <c r="F752" s="9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24.0" customHeight="1">
      <c r="A753" s="8"/>
      <c r="B753" s="8"/>
      <c r="C753" s="8"/>
      <c r="D753" s="8"/>
      <c r="E753" s="8"/>
      <c r="F753" s="9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24.0" customHeight="1">
      <c r="A754" s="8"/>
      <c r="B754" s="8"/>
      <c r="C754" s="8"/>
      <c r="D754" s="8"/>
      <c r="E754" s="8"/>
      <c r="F754" s="9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24.0" customHeight="1">
      <c r="A755" s="8"/>
      <c r="B755" s="8"/>
      <c r="C755" s="8"/>
      <c r="D755" s="8"/>
      <c r="E755" s="8"/>
      <c r="F755" s="9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24.0" customHeight="1">
      <c r="A756" s="8"/>
      <c r="B756" s="8"/>
      <c r="C756" s="8"/>
      <c r="D756" s="8"/>
      <c r="E756" s="8"/>
      <c r="F756" s="9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24.0" customHeight="1">
      <c r="A757" s="8"/>
      <c r="B757" s="8"/>
      <c r="C757" s="8"/>
      <c r="D757" s="8"/>
      <c r="E757" s="8"/>
      <c r="F757" s="9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24.0" customHeight="1">
      <c r="A758" s="8"/>
      <c r="B758" s="8"/>
      <c r="C758" s="8"/>
      <c r="D758" s="8"/>
      <c r="E758" s="8"/>
      <c r="F758" s="9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24.0" customHeight="1">
      <c r="A759" s="8"/>
      <c r="B759" s="8"/>
      <c r="C759" s="8"/>
      <c r="D759" s="8"/>
      <c r="E759" s="8"/>
      <c r="F759" s="9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24.0" customHeight="1">
      <c r="A760" s="8"/>
      <c r="B760" s="8"/>
      <c r="C760" s="8"/>
      <c r="D760" s="8"/>
      <c r="E760" s="8"/>
      <c r="F760" s="9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24.0" customHeight="1">
      <c r="A761" s="8"/>
      <c r="B761" s="8"/>
      <c r="C761" s="8"/>
      <c r="D761" s="8"/>
      <c r="E761" s="8"/>
      <c r="F761" s="9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24.0" customHeight="1">
      <c r="A762" s="8"/>
      <c r="B762" s="8"/>
      <c r="C762" s="8"/>
      <c r="D762" s="8"/>
      <c r="E762" s="8"/>
      <c r="F762" s="9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24.0" customHeight="1">
      <c r="A763" s="8"/>
      <c r="B763" s="8"/>
      <c r="C763" s="8"/>
      <c r="D763" s="8"/>
      <c r="E763" s="8"/>
      <c r="F763" s="9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24.0" customHeight="1">
      <c r="A764" s="8"/>
      <c r="B764" s="8"/>
      <c r="C764" s="8"/>
      <c r="D764" s="8"/>
      <c r="E764" s="8"/>
      <c r="F764" s="9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24.0" customHeight="1">
      <c r="A765" s="8"/>
      <c r="B765" s="8"/>
      <c r="C765" s="8"/>
      <c r="D765" s="8"/>
      <c r="E765" s="8"/>
      <c r="F765" s="9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24.0" customHeight="1">
      <c r="A766" s="8"/>
      <c r="B766" s="8"/>
      <c r="C766" s="8"/>
      <c r="D766" s="8"/>
      <c r="E766" s="8"/>
      <c r="F766" s="9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24.0" customHeight="1">
      <c r="A767" s="8"/>
      <c r="B767" s="8"/>
      <c r="C767" s="8"/>
      <c r="D767" s="8"/>
      <c r="E767" s="8"/>
      <c r="F767" s="9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24.0" customHeight="1">
      <c r="A768" s="8"/>
      <c r="B768" s="8"/>
      <c r="C768" s="8"/>
      <c r="D768" s="8"/>
      <c r="E768" s="8"/>
      <c r="F768" s="9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24.0" customHeight="1">
      <c r="A769" s="8"/>
      <c r="B769" s="8"/>
      <c r="C769" s="8"/>
      <c r="D769" s="8"/>
      <c r="E769" s="8"/>
      <c r="F769" s="9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24.0" customHeight="1">
      <c r="A770" s="8"/>
      <c r="B770" s="8"/>
      <c r="C770" s="8"/>
      <c r="D770" s="8"/>
      <c r="E770" s="8"/>
      <c r="F770" s="9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24.0" customHeight="1">
      <c r="A771" s="8"/>
      <c r="B771" s="8"/>
      <c r="C771" s="8"/>
      <c r="D771" s="8"/>
      <c r="E771" s="8"/>
      <c r="F771" s="9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24.0" customHeight="1">
      <c r="A772" s="8"/>
      <c r="B772" s="8"/>
      <c r="C772" s="8"/>
      <c r="D772" s="8"/>
      <c r="E772" s="8"/>
      <c r="F772" s="9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24.0" customHeight="1">
      <c r="A773" s="8"/>
      <c r="B773" s="8"/>
      <c r="C773" s="8"/>
      <c r="D773" s="8"/>
      <c r="E773" s="8"/>
      <c r="F773" s="9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24.0" customHeight="1">
      <c r="A774" s="8"/>
      <c r="B774" s="8"/>
      <c r="C774" s="8"/>
      <c r="D774" s="8"/>
      <c r="E774" s="8"/>
      <c r="F774" s="9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24.0" customHeight="1">
      <c r="A775" s="8"/>
      <c r="B775" s="8"/>
      <c r="C775" s="8"/>
      <c r="D775" s="8"/>
      <c r="E775" s="8"/>
      <c r="F775" s="9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24.0" customHeight="1">
      <c r="A776" s="8"/>
      <c r="B776" s="8"/>
      <c r="C776" s="8"/>
      <c r="D776" s="8"/>
      <c r="E776" s="8"/>
      <c r="F776" s="9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24.0" customHeight="1">
      <c r="A777" s="8"/>
      <c r="B777" s="8"/>
      <c r="C777" s="8"/>
      <c r="D777" s="8"/>
      <c r="E777" s="8"/>
      <c r="F777" s="9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24.0" customHeight="1">
      <c r="A778" s="8"/>
      <c r="B778" s="8"/>
      <c r="C778" s="8"/>
      <c r="D778" s="8"/>
      <c r="E778" s="8"/>
      <c r="F778" s="9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24.0" customHeight="1">
      <c r="A779" s="8"/>
      <c r="B779" s="8"/>
      <c r="C779" s="8"/>
      <c r="D779" s="8"/>
      <c r="E779" s="8"/>
      <c r="F779" s="9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24.0" customHeight="1">
      <c r="A780" s="8"/>
      <c r="B780" s="8"/>
      <c r="C780" s="8"/>
      <c r="D780" s="8"/>
      <c r="E780" s="8"/>
      <c r="F780" s="9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24.0" customHeight="1">
      <c r="A781" s="8"/>
      <c r="B781" s="8"/>
      <c r="C781" s="8"/>
      <c r="D781" s="8"/>
      <c r="E781" s="8"/>
      <c r="F781" s="9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24.0" customHeight="1">
      <c r="A782" s="8"/>
      <c r="B782" s="8"/>
      <c r="C782" s="8"/>
      <c r="D782" s="8"/>
      <c r="E782" s="8"/>
      <c r="F782" s="9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24.0" customHeight="1">
      <c r="A783" s="8"/>
      <c r="B783" s="8"/>
      <c r="C783" s="8"/>
      <c r="D783" s="8"/>
      <c r="E783" s="8"/>
      <c r="F783" s="9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24.0" customHeight="1">
      <c r="A784" s="8"/>
      <c r="B784" s="8"/>
      <c r="C784" s="8"/>
      <c r="D784" s="8"/>
      <c r="E784" s="8"/>
      <c r="F784" s="9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24.0" customHeight="1">
      <c r="A785" s="8"/>
      <c r="B785" s="8"/>
      <c r="C785" s="8"/>
      <c r="D785" s="8"/>
      <c r="E785" s="8"/>
      <c r="F785" s="9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24.0" customHeight="1">
      <c r="A786" s="8"/>
      <c r="B786" s="8"/>
      <c r="C786" s="8"/>
      <c r="D786" s="8"/>
      <c r="E786" s="8"/>
      <c r="F786" s="9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24.0" customHeight="1">
      <c r="A787" s="8"/>
      <c r="B787" s="8"/>
      <c r="C787" s="8"/>
      <c r="D787" s="8"/>
      <c r="E787" s="8"/>
      <c r="F787" s="9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24.0" customHeight="1">
      <c r="A788" s="8"/>
      <c r="B788" s="8"/>
      <c r="C788" s="8"/>
      <c r="D788" s="8"/>
      <c r="E788" s="8"/>
      <c r="F788" s="9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24.0" customHeight="1">
      <c r="A789" s="8"/>
      <c r="B789" s="8"/>
      <c r="C789" s="8"/>
      <c r="D789" s="8"/>
      <c r="E789" s="8"/>
      <c r="F789" s="9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24.0" customHeight="1">
      <c r="A790" s="8"/>
      <c r="B790" s="8"/>
      <c r="C790" s="8"/>
      <c r="D790" s="8"/>
      <c r="E790" s="8"/>
      <c r="F790" s="9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24.0" customHeight="1">
      <c r="A791" s="8"/>
      <c r="B791" s="8"/>
      <c r="C791" s="8"/>
      <c r="D791" s="8"/>
      <c r="E791" s="8"/>
      <c r="F791" s="9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24.0" customHeight="1">
      <c r="A792" s="8"/>
      <c r="B792" s="8"/>
      <c r="C792" s="8"/>
      <c r="D792" s="8"/>
      <c r="E792" s="8"/>
      <c r="F792" s="9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24.0" customHeight="1">
      <c r="A793" s="8"/>
      <c r="B793" s="8"/>
      <c r="C793" s="8"/>
      <c r="D793" s="8"/>
      <c r="E793" s="8"/>
      <c r="F793" s="9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24.0" customHeight="1">
      <c r="A794" s="8"/>
      <c r="B794" s="8"/>
      <c r="C794" s="8"/>
      <c r="D794" s="8"/>
      <c r="E794" s="8"/>
      <c r="F794" s="9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24.0" customHeight="1">
      <c r="A795" s="8"/>
      <c r="B795" s="8"/>
      <c r="C795" s="8"/>
      <c r="D795" s="8"/>
      <c r="E795" s="8"/>
      <c r="F795" s="9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24.0" customHeight="1">
      <c r="A796" s="8"/>
      <c r="B796" s="8"/>
      <c r="C796" s="8"/>
      <c r="D796" s="8"/>
      <c r="E796" s="8"/>
      <c r="F796" s="9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24.0" customHeight="1">
      <c r="A797" s="8"/>
      <c r="B797" s="8"/>
      <c r="C797" s="8"/>
      <c r="D797" s="8"/>
      <c r="E797" s="8"/>
      <c r="F797" s="9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24.0" customHeight="1">
      <c r="A798" s="8"/>
      <c r="B798" s="8"/>
      <c r="C798" s="8"/>
      <c r="D798" s="8"/>
      <c r="E798" s="8"/>
      <c r="F798" s="9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24.0" customHeight="1">
      <c r="A799" s="8"/>
      <c r="B799" s="8"/>
      <c r="C799" s="8"/>
      <c r="D799" s="8"/>
      <c r="E799" s="8"/>
      <c r="F799" s="9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24.0" customHeight="1">
      <c r="A800" s="8"/>
      <c r="B800" s="8"/>
      <c r="C800" s="8"/>
      <c r="D800" s="8"/>
      <c r="E800" s="8"/>
      <c r="F800" s="9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24.0" customHeight="1">
      <c r="A801" s="8"/>
      <c r="B801" s="8"/>
      <c r="C801" s="8"/>
      <c r="D801" s="8"/>
      <c r="E801" s="8"/>
      <c r="F801" s="9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24.0" customHeight="1">
      <c r="A802" s="8"/>
      <c r="B802" s="8"/>
      <c r="C802" s="8"/>
      <c r="D802" s="8"/>
      <c r="E802" s="8"/>
      <c r="F802" s="9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24.0" customHeight="1">
      <c r="A803" s="8"/>
      <c r="B803" s="8"/>
      <c r="C803" s="8"/>
      <c r="D803" s="8"/>
      <c r="E803" s="8"/>
      <c r="F803" s="9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24.0" customHeight="1">
      <c r="A804" s="8"/>
      <c r="B804" s="8"/>
      <c r="C804" s="8"/>
      <c r="D804" s="8"/>
      <c r="E804" s="8"/>
      <c r="F804" s="9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24.0" customHeight="1">
      <c r="A805" s="8"/>
      <c r="B805" s="8"/>
      <c r="C805" s="8"/>
      <c r="D805" s="8"/>
      <c r="E805" s="8"/>
      <c r="F805" s="9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24.0" customHeight="1">
      <c r="A806" s="8"/>
      <c r="B806" s="8"/>
      <c r="C806" s="8"/>
      <c r="D806" s="8"/>
      <c r="E806" s="8"/>
      <c r="F806" s="9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24.0" customHeight="1">
      <c r="A807" s="8"/>
      <c r="B807" s="8"/>
      <c r="C807" s="8"/>
      <c r="D807" s="8"/>
      <c r="E807" s="8"/>
      <c r="F807" s="9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24.0" customHeight="1">
      <c r="A808" s="8"/>
      <c r="B808" s="8"/>
      <c r="C808" s="8"/>
      <c r="D808" s="8"/>
      <c r="E808" s="8"/>
      <c r="F808" s="9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24.0" customHeight="1">
      <c r="A809" s="8"/>
      <c r="B809" s="8"/>
      <c r="C809" s="8"/>
      <c r="D809" s="8"/>
      <c r="E809" s="8"/>
      <c r="F809" s="9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24.0" customHeight="1">
      <c r="A810" s="8"/>
      <c r="B810" s="8"/>
      <c r="C810" s="8"/>
      <c r="D810" s="8"/>
      <c r="E810" s="8"/>
      <c r="F810" s="9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24.0" customHeight="1">
      <c r="A811" s="8"/>
      <c r="B811" s="8"/>
      <c r="C811" s="8"/>
      <c r="D811" s="8"/>
      <c r="E811" s="8"/>
      <c r="F811" s="9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24.0" customHeight="1">
      <c r="A812" s="8"/>
      <c r="B812" s="8"/>
      <c r="C812" s="8"/>
      <c r="D812" s="8"/>
      <c r="E812" s="8"/>
      <c r="F812" s="9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24.0" customHeight="1">
      <c r="A813" s="8"/>
      <c r="B813" s="8"/>
      <c r="C813" s="8"/>
      <c r="D813" s="8"/>
      <c r="E813" s="8"/>
      <c r="F813" s="9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24.0" customHeight="1">
      <c r="A814" s="8"/>
      <c r="B814" s="8"/>
      <c r="C814" s="8"/>
      <c r="D814" s="8"/>
      <c r="E814" s="8"/>
      <c r="F814" s="9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24.0" customHeight="1">
      <c r="A815" s="8"/>
      <c r="B815" s="8"/>
      <c r="C815" s="8"/>
      <c r="D815" s="8"/>
      <c r="E815" s="8"/>
      <c r="F815" s="9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24.0" customHeight="1">
      <c r="A816" s="8"/>
      <c r="B816" s="8"/>
      <c r="C816" s="8"/>
      <c r="D816" s="8"/>
      <c r="E816" s="8"/>
      <c r="F816" s="9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24.0" customHeight="1">
      <c r="A817" s="8"/>
      <c r="B817" s="8"/>
      <c r="C817" s="8"/>
      <c r="D817" s="8"/>
      <c r="E817" s="8"/>
      <c r="F817" s="9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24.0" customHeight="1">
      <c r="A818" s="8"/>
      <c r="B818" s="8"/>
      <c r="C818" s="8"/>
      <c r="D818" s="8"/>
      <c r="E818" s="8"/>
      <c r="F818" s="9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24.0" customHeight="1">
      <c r="A819" s="8"/>
      <c r="B819" s="8"/>
      <c r="C819" s="8"/>
      <c r="D819" s="8"/>
      <c r="E819" s="8"/>
      <c r="F819" s="9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24.0" customHeight="1">
      <c r="A820" s="8"/>
      <c r="B820" s="8"/>
      <c r="C820" s="8"/>
      <c r="D820" s="8"/>
      <c r="E820" s="8"/>
      <c r="F820" s="9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24.0" customHeight="1">
      <c r="A821" s="8"/>
      <c r="B821" s="8"/>
      <c r="C821" s="8"/>
      <c r="D821" s="8"/>
      <c r="E821" s="8"/>
      <c r="F821" s="9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24.0" customHeight="1">
      <c r="A822" s="8"/>
      <c r="B822" s="8"/>
      <c r="C822" s="8"/>
      <c r="D822" s="8"/>
      <c r="E822" s="8"/>
      <c r="F822" s="9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24.0" customHeight="1">
      <c r="A823" s="8"/>
      <c r="B823" s="8"/>
      <c r="C823" s="8"/>
      <c r="D823" s="8"/>
      <c r="E823" s="8"/>
      <c r="F823" s="9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24.0" customHeight="1">
      <c r="A824" s="8"/>
      <c r="B824" s="8"/>
      <c r="C824" s="8"/>
      <c r="D824" s="8"/>
      <c r="E824" s="8"/>
      <c r="F824" s="9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24.0" customHeight="1">
      <c r="A825" s="8"/>
      <c r="B825" s="8"/>
      <c r="C825" s="8"/>
      <c r="D825" s="8"/>
      <c r="E825" s="8"/>
      <c r="F825" s="9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24.0" customHeight="1">
      <c r="A826" s="8"/>
      <c r="B826" s="8"/>
      <c r="C826" s="8"/>
      <c r="D826" s="8"/>
      <c r="E826" s="8"/>
      <c r="F826" s="9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24.0" customHeight="1">
      <c r="A827" s="8"/>
      <c r="B827" s="8"/>
      <c r="C827" s="8"/>
      <c r="D827" s="8"/>
      <c r="E827" s="8"/>
      <c r="F827" s="9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24.0" customHeight="1">
      <c r="A828" s="8"/>
      <c r="B828" s="8"/>
      <c r="C828" s="8"/>
      <c r="D828" s="8"/>
      <c r="E828" s="8"/>
      <c r="F828" s="9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24.0" customHeight="1">
      <c r="A829" s="8"/>
      <c r="B829" s="8"/>
      <c r="C829" s="8"/>
      <c r="D829" s="8"/>
      <c r="E829" s="8"/>
      <c r="F829" s="9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24.0" customHeight="1">
      <c r="A830" s="8"/>
      <c r="B830" s="8"/>
      <c r="C830" s="8"/>
      <c r="D830" s="8"/>
      <c r="E830" s="8"/>
      <c r="F830" s="9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24.0" customHeight="1">
      <c r="A831" s="8"/>
      <c r="B831" s="8"/>
      <c r="C831" s="8"/>
      <c r="D831" s="8"/>
      <c r="E831" s="8"/>
      <c r="F831" s="9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24.0" customHeight="1">
      <c r="A832" s="8"/>
      <c r="B832" s="8"/>
      <c r="C832" s="8"/>
      <c r="D832" s="8"/>
      <c r="E832" s="8"/>
      <c r="F832" s="9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24.0" customHeight="1">
      <c r="A833" s="8"/>
      <c r="B833" s="8"/>
      <c r="C833" s="8"/>
      <c r="D833" s="8"/>
      <c r="E833" s="8"/>
      <c r="F833" s="9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24.0" customHeight="1">
      <c r="A834" s="8"/>
      <c r="B834" s="8"/>
      <c r="C834" s="8"/>
      <c r="D834" s="8"/>
      <c r="E834" s="8"/>
      <c r="F834" s="9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24.0" customHeight="1">
      <c r="A835" s="8"/>
      <c r="B835" s="8"/>
      <c r="C835" s="8"/>
      <c r="D835" s="8"/>
      <c r="E835" s="8"/>
      <c r="F835" s="9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24.0" customHeight="1">
      <c r="A836" s="8"/>
      <c r="B836" s="8"/>
      <c r="C836" s="8"/>
      <c r="D836" s="8"/>
      <c r="E836" s="8"/>
      <c r="F836" s="9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24.0" customHeight="1">
      <c r="A837" s="8"/>
      <c r="B837" s="8"/>
      <c r="C837" s="8"/>
      <c r="D837" s="8"/>
      <c r="E837" s="8"/>
      <c r="F837" s="9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24.0" customHeight="1">
      <c r="A838" s="8"/>
      <c r="B838" s="8"/>
      <c r="C838" s="8"/>
      <c r="D838" s="8"/>
      <c r="E838" s="8"/>
      <c r="F838" s="9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24.0" customHeight="1">
      <c r="A839" s="8"/>
      <c r="B839" s="8"/>
      <c r="C839" s="8"/>
      <c r="D839" s="8"/>
      <c r="E839" s="8"/>
      <c r="F839" s="9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24.0" customHeight="1">
      <c r="A840" s="8"/>
      <c r="B840" s="8"/>
      <c r="C840" s="8"/>
      <c r="D840" s="8"/>
      <c r="E840" s="8"/>
      <c r="F840" s="9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24.0" customHeight="1">
      <c r="A841" s="8"/>
      <c r="B841" s="8"/>
      <c r="C841" s="8"/>
      <c r="D841" s="8"/>
      <c r="E841" s="8"/>
      <c r="F841" s="9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24.0" customHeight="1">
      <c r="A842" s="8"/>
      <c r="B842" s="8"/>
      <c r="C842" s="8"/>
      <c r="D842" s="8"/>
      <c r="E842" s="8"/>
      <c r="F842" s="9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24.0" customHeight="1">
      <c r="A843" s="8"/>
      <c r="B843" s="8"/>
      <c r="C843" s="8"/>
      <c r="D843" s="8"/>
      <c r="E843" s="8"/>
      <c r="F843" s="9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24.0" customHeight="1">
      <c r="A844" s="8"/>
      <c r="B844" s="8"/>
      <c r="C844" s="8"/>
      <c r="D844" s="8"/>
      <c r="E844" s="8"/>
      <c r="F844" s="9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24.0" customHeight="1">
      <c r="A845" s="8"/>
      <c r="B845" s="8"/>
      <c r="C845" s="8"/>
      <c r="D845" s="8"/>
      <c r="E845" s="8"/>
      <c r="F845" s="9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24.0" customHeight="1">
      <c r="A846" s="8"/>
      <c r="B846" s="8"/>
      <c r="C846" s="8"/>
      <c r="D846" s="8"/>
      <c r="E846" s="8"/>
      <c r="F846" s="9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24.0" customHeight="1">
      <c r="A847" s="8"/>
      <c r="B847" s="8"/>
      <c r="C847" s="8"/>
      <c r="D847" s="8"/>
      <c r="E847" s="8"/>
      <c r="F847" s="9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24.0" customHeight="1">
      <c r="A848" s="8"/>
      <c r="B848" s="8"/>
      <c r="C848" s="8"/>
      <c r="D848" s="8"/>
      <c r="E848" s="8"/>
      <c r="F848" s="9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24.0" customHeight="1">
      <c r="A849" s="8"/>
      <c r="B849" s="8"/>
      <c r="C849" s="8"/>
      <c r="D849" s="8"/>
      <c r="E849" s="8"/>
      <c r="F849" s="9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24.0" customHeight="1">
      <c r="A850" s="8"/>
      <c r="B850" s="8"/>
      <c r="C850" s="8"/>
      <c r="D850" s="8"/>
      <c r="E850" s="8"/>
      <c r="F850" s="9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24.0" customHeight="1">
      <c r="A851" s="8"/>
      <c r="B851" s="8"/>
      <c r="C851" s="8"/>
      <c r="D851" s="8"/>
      <c r="E851" s="8"/>
      <c r="F851" s="9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24.0" customHeight="1">
      <c r="A852" s="8"/>
      <c r="B852" s="8"/>
      <c r="C852" s="8"/>
      <c r="D852" s="8"/>
      <c r="E852" s="8"/>
      <c r="F852" s="9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24.0" customHeight="1">
      <c r="A853" s="8"/>
      <c r="B853" s="8"/>
      <c r="C853" s="8"/>
      <c r="D853" s="8"/>
      <c r="E853" s="8"/>
      <c r="F853" s="9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24.0" customHeight="1">
      <c r="A854" s="8"/>
      <c r="B854" s="8"/>
      <c r="C854" s="8"/>
      <c r="D854" s="8"/>
      <c r="E854" s="8"/>
      <c r="F854" s="9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24.0" customHeight="1">
      <c r="A855" s="8"/>
      <c r="B855" s="8"/>
      <c r="C855" s="8"/>
      <c r="D855" s="8"/>
      <c r="E855" s="8"/>
      <c r="F855" s="9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24.0" customHeight="1">
      <c r="A856" s="8"/>
      <c r="B856" s="8"/>
      <c r="C856" s="8"/>
      <c r="D856" s="8"/>
      <c r="E856" s="8"/>
      <c r="F856" s="9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24.0" customHeight="1">
      <c r="A857" s="8"/>
      <c r="B857" s="8"/>
      <c r="C857" s="8"/>
      <c r="D857" s="8"/>
      <c r="E857" s="8"/>
      <c r="F857" s="9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24.0" customHeight="1">
      <c r="A858" s="8"/>
      <c r="B858" s="8"/>
      <c r="C858" s="8"/>
      <c r="D858" s="8"/>
      <c r="E858" s="8"/>
      <c r="F858" s="9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24.0" customHeight="1">
      <c r="A859" s="8"/>
      <c r="B859" s="8"/>
      <c r="C859" s="8"/>
      <c r="D859" s="8"/>
      <c r="E859" s="8"/>
      <c r="F859" s="9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24.0" customHeight="1">
      <c r="A860" s="8"/>
      <c r="B860" s="8"/>
      <c r="C860" s="8"/>
      <c r="D860" s="8"/>
      <c r="E860" s="8"/>
      <c r="F860" s="9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24.0" customHeight="1">
      <c r="A861" s="8"/>
      <c r="B861" s="8"/>
      <c r="C861" s="8"/>
      <c r="D861" s="8"/>
      <c r="E861" s="8"/>
      <c r="F861" s="9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24.0" customHeight="1">
      <c r="A862" s="8"/>
      <c r="B862" s="8"/>
      <c r="C862" s="8"/>
      <c r="D862" s="8"/>
      <c r="E862" s="8"/>
      <c r="F862" s="9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24.0" customHeight="1">
      <c r="A863" s="8"/>
      <c r="B863" s="8"/>
      <c r="C863" s="8"/>
      <c r="D863" s="8"/>
      <c r="E863" s="8"/>
      <c r="F863" s="9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24.0" customHeight="1">
      <c r="A864" s="8"/>
      <c r="B864" s="8"/>
      <c r="C864" s="8"/>
      <c r="D864" s="8"/>
      <c r="E864" s="8"/>
      <c r="F864" s="9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24.0" customHeight="1">
      <c r="A865" s="8"/>
      <c r="B865" s="8"/>
      <c r="C865" s="8"/>
      <c r="D865" s="8"/>
      <c r="E865" s="8"/>
      <c r="F865" s="9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24.0" customHeight="1">
      <c r="A866" s="8"/>
      <c r="B866" s="8"/>
      <c r="C866" s="8"/>
      <c r="D866" s="8"/>
      <c r="E866" s="8"/>
      <c r="F866" s="9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24.0" customHeight="1">
      <c r="A867" s="8"/>
      <c r="B867" s="8"/>
      <c r="C867" s="8"/>
      <c r="D867" s="8"/>
      <c r="E867" s="8"/>
      <c r="F867" s="9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24.0" customHeight="1">
      <c r="A868" s="8"/>
      <c r="B868" s="8"/>
      <c r="C868" s="8"/>
      <c r="D868" s="8"/>
      <c r="E868" s="8"/>
      <c r="F868" s="9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24.0" customHeight="1">
      <c r="A869" s="8"/>
      <c r="B869" s="8"/>
      <c r="C869" s="8"/>
      <c r="D869" s="8"/>
      <c r="E869" s="8"/>
      <c r="F869" s="9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24.0" customHeight="1">
      <c r="A870" s="8"/>
      <c r="B870" s="8"/>
      <c r="C870" s="8"/>
      <c r="D870" s="8"/>
      <c r="E870" s="8"/>
      <c r="F870" s="9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24.0" customHeight="1">
      <c r="A871" s="8"/>
      <c r="B871" s="8"/>
      <c r="C871" s="8"/>
      <c r="D871" s="8"/>
      <c r="E871" s="8"/>
      <c r="F871" s="9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24.0" customHeight="1">
      <c r="A872" s="8"/>
      <c r="B872" s="8"/>
      <c r="C872" s="8"/>
      <c r="D872" s="8"/>
      <c r="E872" s="8"/>
      <c r="F872" s="9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24.0" customHeight="1">
      <c r="A873" s="8"/>
      <c r="B873" s="8"/>
      <c r="C873" s="8"/>
      <c r="D873" s="8"/>
      <c r="E873" s="8"/>
      <c r="F873" s="9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24.0" customHeight="1">
      <c r="A874" s="8"/>
      <c r="B874" s="8"/>
      <c r="C874" s="8"/>
      <c r="D874" s="8"/>
      <c r="E874" s="8"/>
      <c r="F874" s="9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24.0" customHeight="1">
      <c r="A875" s="8"/>
      <c r="B875" s="8"/>
      <c r="C875" s="8"/>
      <c r="D875" s="8"/>
      <c r="E875" s="8"/>
      <c r="F875" s="9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24.0" customHeight="1">
      <c r="A876" s="8"/>
      <c r="B876" s="8"/>
      <c r="C876" s="8"/>
      <c r="D876" s="8"/>
      <c r="E876" s="8"/>
      <c r="F876" s="9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24.0" customHeight="1">
      <c r="A877" s="8"/>
      <c r="B877" s="8"/>
      <c r="C877" s="8"/>
      <c r="D877" s="8"/>
      <c r="E877" s="8"/>
      <c r="F877" s="9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24.0" customHeight="1">
      <c r="A878" s="8"/>
      <c r="B878" s="8"/>
      <c r="C878" s="8"/>
      <c r="D878" s="8"/>
      <c r="E878" s="8"/>
      <c r="F878" s="9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24.0" customHeight="1">
      <c r="A879" s="8"/>
      <c r="B879" s="8"/>
      <c r="C879" s="8"/>
      <c r="D879" s="8"/>
      <c r="E879" s="8"/>
      <c r="F879" s="9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24.0" customHeight="1">
      <c r="A880" s="8"/>
      <c r="B880" s="8"/>
      <c r="C880" s="8"/>
      <c r="D880" s="8"/>
      <c r="E880" s="8"/>
      <c r="F880" s="9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24.0" customHeight="1">
      <c r="A881" s="8"/>
      <c r="B881" s="8"/>
      <c r="C881" s="8"/>
      <c r="D881" s="8"/>
      <c r="E881" s="8"/>
      <c r="F881" s="9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24.0" customHeight="1">
      <c r="A882" s="8"/>
      <c r="B882" s="8"/>
      <c r="C882" s="8"/>
      <c r="D882" s="8"/>
      <c r="E882" s="8"/>
      <c r="F882" s="9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24.0" customHeight="1">
      <c r="A883" s="8"/>
      <c r="B883" s="8"/>
      <c r="C883" s="8"/>
      <c r="D883" s="8"/>
      <c r="E883" s="8"/>
      <c r="F883" s="9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24.0" customHeight="1">
      <c r="A884" s="8"/>
      <c r="B884" s="8"/>
      <c r="C884" s="8"/>
      <c r="D884" s="8"/>
      <c r="E884" s="8"/>
      <c r="F884" s="9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24.0" customHeight="1">
      <c r="A885" s="8"/>
      <c r="B885" s="8"/>
      <c r="C885" s="8"/>
      <c r="D885" s="8"/>
      <c r="E885" s="8"/>
      <c r="F885" s="9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24.0" customHeight="1">
      <c r="A886" s="8"/>
      <c r="B886" s="8"/>
      <c r="C886" s="8"/>
      <c r="D886" s="8"/>
      <c r="E886" s="8"/>
      <c r="F886" s="9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24.0" customHeight="1">
      <c r="A887" s="8"/>
      <c r="B887" s="8"/>
      <c r="C887" s="8"/>
      <c r="D887" s="8"/>
      <c r="E887" s="8"/>
      <c r="F887" s="9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24.0" customHeight="1">
      <c r="A888" s="8"/>
      <c r="B888" s="8"/>
      <c r="C888" s="8"/>
      <c r="D888" s="8"/>
      <c r="E888" s="8"/>
      <c r="F888" s="9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24.0" customHeight="1">
      <c r="A889" s="8"/>
      <c r="B889" s="8"/>
      <c r="C889" s="8"/>
      <c r="D889" s="8"/>
      <c r="E889" s="8"/>
      <c r="F889" s="9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24.0" customHeight="1">
      <c r="A890" s="8"/>
      <c r="B890" s="8"/>
      <c r="C890" s="8"/>
      <c r="D890" s="8"/>
      <c r="E890" s="8"/>
      <c r="F890" s="9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24.0" customHeight="1">
      <c r="A891" s="8"/>
      <c r="B891" s="8"/>
      <c r="C891" s="8"/>
      <c r="D891" s="8"/>
      <c r="E891" s="8"/>
      <c r="F891" s="9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24.0" customHeight="1">
      <c r="A892" s="8"/>
      <c r="B892" s="8"/>
      <c r="C892" s="8"/>
      <c r="D892" s="8"/>
      <c r="E892" s="8"/>
      <c r="F892" s="9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24.0" customHeight="1">
      <c r="A893" s="8"/>
      <c r="B893" s="8"/>
      <c r="C893" s="8"/>
      <c r="D893" s="8"/>
      <c r="E893" s="8"/>
      <c r="F893" s="9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24.0" customHeight="1">
      <c r="A894" s="8"/>
      <c r="B894" s="8"/>
      <c r="C894" s="8"/>
      <c r="D894" s="8"/>
      <c r="E894" s="8"/>
      <c r="F894" s="9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24.0" customHeight="1">
      <c r="A895" s="8"/>
      <c r="B895" s="8"/>
      <c r="C895" s="8"/>
      <c r="D895" s="8"/>
      <c r="E895" s="8"/>
      <c r="F895" s="9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24.0" customHeight="1">
      <c r="A896" s="8"/>
      <c r="B896" s="8"/>
      <c r="C896" s="8"/>
      <c r="D896" s="8"/>
      <c r="E896" s="8"/>
      <c r="F896" s="9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24.0" customHeight="1">
      <c r="A897" s="8"/>
      <c r="B897" s="8"/>
      <c r="C897" s="8"/>
      <c r="D897" s="8"/>
      <c r="E897" s="8"/>
      <c r="F897" s="9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24.0" customHeight="1">
      <c r="A898" s="8"/>
      <c r="B898" s="8"/>
      <c r="C898" s="8"/>
      <c r="D898" s="8"/>
      <c r="E898" s="8"/>
      <c r="F898" s="9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24.0" customHeight="1">
      <c r="A899" s="8"/>
      <c r="B899" s="8"/>
      <c r="C899" s="8"/>
      <c r="D899" s="8"/>
      <c r="E899" s="8"/>
      <c r="F899" s="9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24.0" customHeight="1">
      <c r="A900" s="8"/>
      <c r="B900" s="8"/>
      <c r="C900" s="8"/>
      <c r="D900" s="8"/>
      <c r="E900" s="8"/>
      <c r="F900" s="9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24.0" customHeight="1">
      <c r="A901" s="8"/>
      <c r="B901" s="8"/>
      <c r="C901" s="8"/>
      <c r="D901" s="8"/>
      <c r="E901" s="8"/>
      <c r="F901" s="9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24.0" customHeight="1">
      <c r="A902" s="8"/>
      <c r="B902" s="8"/>
      <c r="C902" s="8"/>
      <c r="D902" s="8"/>
      <c r="E902" s="8"/>
      <c r="F902" s="9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24.0" customHeight="1">
      <c r="A903" s="8"/>
      <c r="B903" s="8"/>
      <c r="C903" s="8"/>
      <c r="D903" s="8"/>
      <c r="E903" s="8"/>
      <c r="F903" s="9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24.0" customHeight="1">
      <c r="A904" s="8"/>
      <c r="B904" s="8"/>
      <c r="C904" s="8"/>
      <c r="D904" s="8"/>
      <c r="E904" s="8"/>
      <c r="F904" s="9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24.0" customHeight="1">
      <c r="A905" s="8"/>
      <c r="B905" s="8"/>
      <c r="C905" s="8"/>
      <c r="D905" s="8"/>
      <c r="E905" s="8"/>
      <c r="F905" s="9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24.0" customHeight="1">
      <c r="A906" s="8"/>
      <c r="B906" s="8"/>
      <c r="C906" s="8"/>
      <c r="D906" s="8"/>
      <c r="E906" s="8"/>
      <c r="F906" s="9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24.0" customHeight="1">
      <c r="A907" s="8"/>
      <c r="B907" s="8"/>
      <c r="C907" s="8"/>
      <c r="D907" s="8"/>
      <c r="E907" s="8"/>
      <c r="F907" s="9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24.0" customHeight="1">
      <c r="A908" s="8"/>
      <c r="B908" s="8"/>
      <c r="C908" s="8"/>
      <c r="D908" s="8"/>
      <c r="E908" s="8"/>
      <c r="F908" s="9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24.0" customHeight="1">
      <c r="A909" s="8"/>
      <c r="B909" s="8"/>
      <c r="C909" s="8"/>
      <c r="D909" s="8"/>
      <c r="E909" s="8"/>
      <c r="F909" s="9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24.0" customHeight="1">
      <c r="A910" s="8"/>
      <c r="B910" s="8"/>
      <c r="C910" s="8"/>
      <c r="D910" s="8"/>
      <c r="E910" s="8"/>
      <c r="F910" s="9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24.0" customHeight="1">
      <c r="A911" s="8"/>
      <c r="B911" s="8"/>
      <c r="C911" s="8"/>
      <c r="D911" s="8"/>
      <c r="E911" s="8"/>
      <c r="F911" s="9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24.0" customHeight="1">
      <c r="A912" s="8"/>
      <c r="B912" s="8"/>
      <c r="C912" s="8"/>
      <c r="D912" s="8"/>
      <c r="E912" s="8"/>
      <c r="F912" s="9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24.0" customHeight="1">
      <c r="A913" s="8"/>
      <c r="B913" s="8"/>
      <c r="C913" s="8"/>
      <c r="D913" s="8"/>
      <c r="E913" s="8"/>
      <c r="F913" s="9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24.0" customHeight="1">
      <c r="A914" s="8"/>
      <c r="B914" s="8"/>
      <c r="C914" s="8"/>
      <c r="D914" s="8"/>
      <c r="E914" s="8"/>
      <c r="F914" s="9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24.0" customHeight="1">
      <c r="A915" s="8"/>
      <c r="B915" s="8"/>
      <c r="C915" s="8"/>
      <c r="D915" s="8"/>
      <c r="E915" s="8"/>
      <c r="F915" s="9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24.0" customHeight="1">
      <c r="A916" s="8"/>
      <c r="B916" s="8"/>
      <c r="C916" s="8"/>
      <c r="D916" s="8"/>
      <c r="E916" s="8"/>
      <c r="F916" s="9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24.0" customHeight="1">
      <c r="A917" s="8"/>
      <c r="B917" s="8"/>
      <c r="C917" s="8"/>
      <c r="D917" s="8"/>
      <c r="E917" s="8"/>
      <c r="F917" s="9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24.0" customHeight="1">
      <c r="A918" s="8"/>
      <c r="B918" s="8"/>
      <c r="C918" s="8"/>
      <c r="D918" s="8"/>
      <c r="E918" s="8"/>
      <c r="F918" s="9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24.0" customHeight="1">
      <c r="A919" s="8"/>
      <c r="B919" s="8"/>
      <c r="C919" s="8"/>
      <c r="D919" s="8"/>
      <c r="E919" s="8"/>
      <c r="F919" s="9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24.0" customHeight="1">
      <c r="A920" s="8"/>
      <c r="B920" s="8"/>
      <c r="C920" s="8"/>
      <c r="D920" s="8"/>
      <c r="E920" s="8"/>
      <c r="F920" s="9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24.0" customHeight="1">
      <c r="A921" s="8"/>
      <c r="B921" s="8"/>
      <c r="C921" s="8"/>
      <c r="D921" s="8"/>
      <c r="E921" s="8"/>
      <c r="F921" s="9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24.0" customHeight="1">
      <c r="A922" s="8"/>
      <c r="B922" s="8"/>
      <c r="C922" s="8"/>
      <c r="D922" s="8"/>
      <c r="E922" s="8"/>
      <c r="F922" s="9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24.0" customHeight="1">
      <c r="A923" s="8"/>
      <c r="B923" s="8"/>
      <c r="C923" s="8"/>
      <c r="D923" s="8"/>
      <c r="E923" s="8"/>
      <c r="F923" s="9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24.0" customHeight="1">
      <c r="A924" s="8"/>
      <c r="B924" s="8"/>
      <c r="C924" s="8"/>
      <c r="D924" s="8"/>
      <c r="E924" s="8"/>
      <c r="F924" s="9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24.0" customHeight="1">
      <c r="A925" s="8"/>
      <c r="B925" s="8"/>
      <c r="C925" s="8"/>
      <c r="D925" s="8"/>
      <c r="E925" s="8"/>
      <c r="F925" s="9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24.0" customHeight="1">
      <c r="A926" s="8"/>
      <c r="B926" s="8"/>
      <c r="C926" s="8"/>
      <c r="D926" s="8"/>
      <c r="E926" s="8"/>
      <c r="F926" s="9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24.0" customHeight="1">
      <c r="A927" s="8"/>
      <c r="B927" s="8"/>
      <c r="C927" s="8"/>
      <c r="D927" s="8"/>
      <c r="E927" s="8"/>
      <c r="F927" s="9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24.0" customHeight="1">
      <c r="A928" s="8"/>
      <c r="B928" s="8"/>
      <c r="C928" s="8"/>
      <c r="D928" s="8"/>
      <c r="E928" s="8"/>
      <c r="F928" s="9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24.0" customHeight="1">
      <c r="A929" s="8"/>
      <c r="B929" s="8"/>
      <c r="C929" s="8"/>
      <c r="D929" s="8"/>
      <c r="E929" s="8"/>
      <c r="F929" s="9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24.0" customHeight="1">
      <c r="A930" s="8"/>
      <c r="B930" s="8"/>
      <c r="C930" s="8"/>
      <c r="D930" s="8"/>
      <c r="E930" s="8"/>
      <c r="F930" s="9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24.0" customHeight="1">
      <c r="A931" s="8"/>
      <c r="B931" s="8"/>
      <c r="C931" s="8"/>
      <c r="D931" s="8"/>
      <c r="E931" s="8"/>
      <c r="F931" s="9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24.0" customHeight="1">
      <c r="A932" s="8"/>
      <c r="B932" s="8"/>
      <c r="C932" s="8"/>
      <c r="D932" s="8"/>
      <c r="E932" s="8"/>
      <c r="F932" s="9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24.0" customHeight="1">
      <c r="A933" s="8"/>
      <c r="B933" s="8"/>
      <c r="C933" s="8"/>
      <c r="D933" s="8"/>
      <c r="E933" s="8"/>
      <c r="F933" s="9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24.0" customHeight="1">
      <c r="A934" s="8"/>
      <c r="B934" s="8"/>
      <c r="C934" s="8"/>
      <c r="D934" s="8"/>
      <c r="E934" s="8"/>
      <c r="F934" s="9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24.0" customHeight="1">
      <c r="A935" s="8"/>
      <c r="B935" s="8"/>
      <c r="C935" s="8"/>
      <c r="D935" s="8"/>
      <c r="E935" s="8"/>
      <c r="F935" s="9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24.0" customHeight="1">
      <c r="A936" s="8"/>
      <c r="B936" s="8"/>
      <c r="C936" s="8"/>
      <c r="D936" s="8"/>
      <c r="E936" s="8"/>
      <c r="F936" s="9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24.0" customHeight="1">
      <c r="A937" s="8"/>
      <c r="B937" s="8"/>
      <c r="C937" s="8"/>
      <c r="D937" s="8"/>
      <c r="E937" s="8"/>
      <c r="F937" s="9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24.0" customHeight="1">
      <c r="A938" s="8"/>
      <c r="B938" s="8"/>
      <c r="C938" s="8"/>
      <c r="D938" s="8"/>
      <c r="E938" s="8"/>
      <c r="F938" s="9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24.0" customHeight="1">
      <c r="A939" s="8"/>
      <c r="B939" s="8"/>
      <c r="C939" s="8"/>
      <c r="D939" s="8"/>
      <c r="E939" s="8"/>
      <c r="F939" s="9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24.0" customHeight="1">
      <c r="A940" s="8"/>
      <c r="B940" s="8"/>
      <c r="C940" s="8"/>
      <c r="D940" s="8"/>
      <c r="E940" s="8"/>
      <c r="F940" s="9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24.0" customHeight="1">
      <c r="A941" s="8"/>
      <c r="B941" s="8"/>
      <c r="C941" s="8"/>
      <c r="D941" s="8"/>
      <c r="E941" s="8"/>
      <c r="F941" s="9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24.0" customHeight="1">
      <c r="A942" s="8"/>
      <c r="B942" s="8"/>
      <c r="C942" s="8"/>
      <c r="D942" s="8"/>
      <c r="E942" s="8"/>
      <c r="F942" s="9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24.0" customHeight="1">
      <c r="A943" s="8"/>
      <c r="B943" s="8"/>
      <c r="C943" s="8"/>
      <c r="D943" s="8"/>
      <c r="E943" s="8"/>
      <c r="F943" s="9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24.0" customHeight="1">
      <c r="A944" s="8"/>
      <c r="B944" s="8"/>
      <c r="C944" s="8"/>
      <c r="D944" s="8"/>
      <c r="E944" s="8"/>
      <c r="F944" s="9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24.0" customHeight="1">
      <c r="A945" s="8"/>
      <c r="B945" s="8"/>
      <c r="C945" s="8"/>
      <c r="D945" s="8"/>
      <c r="E945" s="8"/>
      <c r="F945" s="9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24.0" customHeight="1">
      <c r="A946" s="8"/>
      <c r="B946" s="8"/>
      <c r="C946" s="8"/>
      <c r="D946" s="8"/>
      <c r="E946" s="8"/>
      <c r="F946" s="9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24.0" customHeight="1">
      <c r="A947" s="8"/>
      <c r="B947" s="8"/>
      <c r="C947" s="8"/>
      <c r="D947" s="8"/>
      <c r="E947" s="8"/>
      <c r="F947" s="9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24.0" customHeight="1">
      <c r="A948" s="8"/>
      <c r="B948" s="8"/>
      <c r="C948" s="8"/>
      <c r="D948" s="8"/>
      <c r="E948" s="8"/>
      <c r="F948" s="9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24.0" customHeight="1">
      <c r="A949" s="8"/>
      <c r="B949" s="8"/>
      <c r="C949" s="8"/>
      <c r="D949" s="8"/>
      <c r="E949" s="8"/>
      <c r="F949" s="9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24.0" customHeight="1">
      <c r="A950" s="8"/>
      <c r="B950" s="8"/>
      <c r="C950" s="8"/>
      <c r="D950" s="8"/>
      <c r="E950" s="8"/>
      <c r="F950" s="9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24.0" customHeight="1">
      <c r="A951" s="8"/>
      <c r="B951" s="8"/>
      <c r="C951" s="8"/>
      <c r="D951" s="8"/>
      <c r="E951" s="8"/>
      <c r="F951" s="9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24.0" customHeight="1">
      <c r="A952" s="8"/>
      <c r="B952" s="8"/>
      <c r="C952" s="8"/>
      <c r="D952" s="8"/>
      <c r="E952" s="8"/>
      <c r="F952" s="9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24.0" customHeight="1">
      <c r="A953" s="8"/>
      <c r="B953" s="8"/>
      <c r="C953" s="8"/>
      <c r="D953" s="8"/>
      <c r="E953" s="8"/>
      <c r="F953" s="9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24.0" customHeight="1">
      <c r="A954" s="8"/>
      <c r="B954" s="8"/>
      <c r="C954" s="8"/>
      <c r="D954" s="8"/>
      <c r="E954" s="8"/>
      <c r="F954" s="9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24.0" customHeight="1">
      <c r="A955" s="8"/>
      <c r="B955" s="8"/>
      <c r="C955" s="8"/>
      <c r="D955" s="8"/>
      <c r="E955" s="8"/>
      <c r="F955" s="9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24.0" customHeight="1">
      <c r="A956" s="8"/>
      <c r="B956" s="8"/>
      <c r="C956" s="8"/>
      <c r="D956" s="8"/>
      <c r="E956" s="8"/>
      <c r="F956" s="9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24.0" customHeight="1">
      <c r="A957" s="8"/>
      <c r="B957" s="8"/>
      <c r="C957" s="8"/>
      <c r="D957" s="8"/>
      <c r="E957" s="8"/>
      <c r="F957" s="9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24.0" customHeight="1">
      <c r="A958" s="8"/>
      <c r="B958" s="8"/>
      <c r="C958" s="8"/>
      <c r="D958" s="8"/>
      <c r="E958" s="8"/>
      <c r="F958" s="9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24.0" customHeight="1">
      <c r="A959" s="8"/>
      <c r="B959" s="8"/>
      <c r="C959" s="8"/>
      <c r="D959" s="8"/>
      <c r="E959" s="8"/>
      <c r="F959" s="9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24.0" customHeight="1">
      <c r="A960" s="8"/>
      <c r="B960" s="8"/>
      <c r="C960" s="8"/>
      <c r="D960" s="8"/>
      <c r="E960" s="8"/>
      <c r="F960" s="9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24.0" customHeight="1">
      <c r="A961" s="8"/>
      <c r="B961" s="8"/>
      <c r="C961" s="8"/>
      <c r="D961" s="8"/>
      <c r="E961" s="8"/>
      <c r="F961" s="9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24.0" customHeight="1">
      <c r="A962" s="8"/>
      <c r="B962" s="8"/>
      <c r="C962" s="8"/>
      <c r="D962" s="8"/>
      <c r="E962" s="8"/>
      <c r="F962" s="9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24.0" customHeight="1">
      <c r="A963" s="8"/>
      <c r="B963" s="8"/>
      <c r="C963" s="8"/>
      <c r="D963" s="8"/>
      <c r="E963" s="8"/>
      <c r="F963" s="9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24.0" customHeight="1">
      <c r="A964" s="8"/>
      <c r="B964" s="8"/>
      <c r="C964" s="8"/>
      <c r="D964" s="8"/>
      <c r="E964" s="8"/>
      <c r="F964" s="9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24.0" customHeight="1">
      <c r="A965" s="8"/>
      <c r="B965" s="8"/>
      <c r="C965" s="8"/>
      <c r="D965" s="8"/>
      <c r="E965" s="8"/>
      <c r="F965" s="9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24.0" customHeight="1">
      <c r="A966" s="8"/>
      <c r="B966" s="8"/>
      <c r="C966" s="8"/>
      <c r="D966" s="8"/>
      <c r="E966" s="8"/>
      <c r="F966" s="9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24.0" customHeight="1">
      <c r="A967" s="8"/>
      <c r="B967" s="8"/>
      <c r="C967" s="8"/>
      <c r="D967" s="8"/>
      <c r="E967" s="8"/>
      <c r="F967" s="9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24.0" customHeight="1">
      <c r="A968" s="8"/>
      <c r="B968" s="8"/>
      <c r="C968" s="8"/>
      <c r="D968" s="8"/>
      <c r="E968" s="8"/>
      <c r="F968" s="9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24.0" customHeight="1">
      <c r="A969" s="8"/>
      <c r="B969" s="8"/>
      <c r="C969" s="8"/>
      <c r="D969" s="8"/>
      <c r="E969" s="8"/>
      <c r="F969" s="9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24.0" customHeight="1">
      <c r="A970" s="8"/>
      <c r="B970" s="8"/>
      <c r="C970" s="8"/>
      <c r="D970" s="8"/>
      <c r="E970" s="8"/>
      <c r="F970" s="9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24.0" customHeight="1">
      <c r="A971" s="8"/>
      <c r="B971" s="8"/>
      <c r="C971" s="8"/>
      <c r="D971" s="8"/>
      <c r="E971" s="8"/>
      <c r="F971" s="9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24.0" customHeight="1">
      <c r="A972" s="8"/>
      <c r="B972" s="8"/>
      <c r="C972" s="8"/>
      <c r="D972" s="8"/>
      <c r="E972" s="8"/>
      <c r="F972" s="9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24.0" customHeight="1">
      <c r="A973" s="8"/>
      <c r="B973" s="8"/>
      <c r="C973" s="8"/>
      <c r="D973" s="8"/>
      <c r="E973" s="8"/>
      <c r="F973" s="9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24.0" customHeight="1">
      <c r="A974" s="8"/>
      <c r="B974" s="8"/>
      <c r="C974" s="8"/>
      <c r="D974" s="8"/>
      <c r="E974" s="8"/>
      <c r="F974" s="9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24.0" customHeight="1">
      <c r="A975" s="8"/>
      <c r="B975" s="8"/>
      <c r="C975" s="8"/>
      <c r="D975" s="8"/>
      <c r="E975" s="8"/>
      <c r="F975" s="9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24.0" customHeight="1">
      <c r="A976" s="8"/>
      <c r="B976" s="8"/>
      <c r="C976" s="8"/>
      <c r="D976" s="8"/>
      <c r="E976" s="8"/>
      <c r="F976" s="9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24.0" customHeight="1">
      <c r="A977" s="8"/>
      <c r="B977" s="8"/>
      <c r="C977" s="8"/>
      <c r="D977" s="8"/>
      <c r="E977" s="8"/>
      <c r="F977" s="9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24.0" customHeight="1">
      <c r="A978" s="8"/>
      <c r="B978" s="8"/>
      <c r="C978" s="8"/>
      <c r="D978" s="8"/>
      <c r="E978" s="8"/>
      <c r="F978" s="9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24.0" customHeight="1">
      <c r="A979" s="8"/>
      <c r="B979" s="8"/>
      <c r="C979" s="8"/>
      <c r="D979" s="8"/>
      <c r="E979" s="8"/>
      <c r="F979" s="9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24.0" customHeight="1">
      <c r="A980" s="8"/>
      <c r="B980" s="8"/>
      <c r="C980" s="8"/>
      <c r="D980" s="8"/>
      <c r="E980" s="8"/>
      <c r="F980" s="9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24.0" customHeight="1">
      <c r="A981" s="8"/>
      <c r="B981" s="8"/>
      <c r="C981" s="8"/>
      <c r="D981" s="8"/>
      <c r="E981" s="8"/>
      <c r="F981" s="9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24.0" customHeight="1">
      <c r="A982" s="8"/>
      <c r="B982" s="8"/>
      <c r="C982" s="8"/>
      <c r="D982" s="8"/>
      <c r="E982" s="8"/>
      <c r="F982" s="9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24.0" customHeight="1">
      <c r="A983" s="8"/>
      <c r="B983" s="8"/>
      <c r="C983" s="8"/>
      <c r="D983" s="8"/>
      <c r="E983" s="8"/>
      <c r="F983" s="9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24.0" customHeight="1">
      <c r="A984" s="8"/>
      <c r="B984" s="8"/>
      <c r="C984" s="8"/>
      <c r="D984" s="8"/>
      <c r="E984" s="8"/>
      <c r="F984" s="9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24.0" customHeight="1">
      <c r="A985" s="8"/>
      <c r="B985" s="8"/>
      <c r="C985" s="8"/>
      <c r="D985" s="8"/>
      <c r="E985" s="8"/>
      <c r="F985" s="9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24.0" customHeight="1">
      <c r="A986" s="8"/>
      <c r="B986" s="8"/>
      <c r="C986" s="8"/>
      <c r="D986" s="8"/>
      <c r="E986" s="8"/>
      <c r="F986" s="9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24.0" customHeight="1">
      <c r="A987" s="8"/>
      <c r="B987" s="8"/>
      <c r="C987" s="8"/>
      <c r="D987" s="8"/>
      <c r="E987" s="8"/>
      <c r="F987" s="9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24.0" customHeight="1">
      <c r="A988" s="8"/>
      <c r="B988" s="8"/>
      <c r="C988" s="8"/>
      <c r="D988" s="8"/>
      <c r="E988" s="8"/>
      <c r="F988" s="9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24.0" customHeight="1">
      <c r="A989" s="8"/>
      <c r="B989" s="8"/>
      <c r="C989" s="8"/>
      <c r="D989" s="8"/>
      <c r="E989" s="8"/>
      <c r="F989" s="9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24.0" customHeight="1">
      <c r="A990" s="8"/>
      <c r="B990" s="8"/>
      <c r="C990" s="8"/>
      <c r="D990" s="8"/>
      <c r="E990" s="8"/>
      <c r="F990" s="9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24.0" customHeight="1">
      <c r="A991" s="8"/>
      <c r="B991" s="8"/>
      <c r="C991" s="8"/>
      <c r="D991" s="8"/>
      <c r="E991" s="8"/>
      <c r="F991" s="9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24.0" customHeight="1">
      <c r="A992" s="8"/>
      <c r="B992" s="8"/>
      <c r="C992" s="8"/>
      <c r="D992" s="8"/>
      <c r="E992" s="8"/>
      <c r="F992" s="9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24.0" customHeight="1">
      <c r="A993" s="8"/>
      <c r="B993" s="8"/>
      <c r="C993" s="8"/>
      <c r="D993" s="8"/>
      <c r="E993" s="8"/>
      <c r="F993" s="9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24.0" customHeight="1">
      <c r="A994" s="8"/>
      <c r="B994" s="8"/>
      <c r="C994" s="8"/>
      <c r="D994" s="8"/>
      <c r="E994" s="8"/>
      <c r="F994" s="9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24.0" customHeight="1">
      <c r="A995" s="8"/>
      <c r="B995" s="8"/>
      <c r="C995" s="8"/>
      <c r="D995" s="8"/>
      <c r="E995" s="8"/>
      <c r="F995" s="9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24.0" customHeight="1">
      <c r="A996" s="8"/>
      <c r="B996" s="8"/>
      <c r="C996" s="8"/>
      <c r="D996" s="8"/>
      <c r="E996" s="8"/>
      <c r="F996" s="9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24.0" customHeight="1">
      <c r="A997" s="8"/>
      <c r="B997" s="8"/>
      <c r="C997" s="8"/>
      <c r="D997" s="8"/>
      <c r="E997" s="8"/>
      <c r="F997" s="9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24.0" customHeight="1">
      <c r="A998" s="8"/>
      <c r="B998" s="8"/>
      <c r="C998" s="8"/>
      <c r="D998" s="8"/>
      <c r="E998" s="8"/>
      <c r="F998" s="9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24.0" customHeight="1">
      <c r="A999" s="8"/>
      <c r="B999" s="8"/>
      <c r="C999" s="8"/>
      <c r="D999" s="8"/>
      <c r="E999" s="8"/>
      <c r="F999" s="9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24.0" customHeight="1">
      <c r="A1000" s="8"/>
      <c r="B1000" s="8"/>
      <c r="C1000" s="8"/>
      <c r="D1000" s="8"/>
      <c r="E1000" s="8"/>
      <c r="F1000" s="9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/>
  </sheetViews>
  <sheetFormatPr customHeight="1" defaultColWidth="12.63" defaultRowHeight="15.0"/>
  <cols>
    <col customWidth="1" min="1" max="2" width="21.25"/>
    <col customWidth="1" min="3" max="3" width="51.25"/>
    <col customWidth="1" min="4" max="26" width="21.25"/>
  </cols>
  <sheetData>
    <row r="1" ht="14.25" customHeight="1">
      <c r="A1" s="1" t="s">
        <v>139</v>
      </c>
      <c r="B1" s="1" t="s">
        <v>47</v>
      </c>
      <c r="C1" s="1" t="s">
        <v>125</v>
      </c>
      <c r="D1" s="8" t="s">
        <v>127</v>
      </c>
    </row>
    <row r="2" ht="14.25" customHeight="1">
      <c r="A2" s="1">
        <v>1.0</v>
      </c>
      <c r="B2" s="1" t="s">
        <v>12</v>
      </c>
      <c r="C2" s="1" t="s">
        <v>140</v>
      </c>
      <c r="D2" s="8" t="s">
        <v>130</v>
      </c>
    </row>
    <row r="3" ht="14.25" customHeight="1">
      <c r="A3" s="1">
        <v>2.0</v>
      </c>
      <c r="B3" s="1" t="s">
        <v>34</v>
      </c>
      <c r="C3" s="1" t="s">
        <v>141</v>
      </c>
      <c r="D3" s="8" t="s">
        <v>130</v>
      </c>
    </row>
    <row r="4" ht="14.25" customHeight="1">
      <c r="A4" s="1">
        <v>3.0</v>
      </c>
      <c r="B4" s="1" t="s">
        <v>41</v>
      </c>
      <c r="C4" s="1" t="s">
        <v>142</v>
      </c>
      <c r="D4" s="8" t="s">
        <v>130</v>
      </c>
    </row>
    <row r="5" ht="14.25" customHeight="1">
      <c r="A5" s="1">
        <v>4.0</v>
      </c>
      <c r="B5" s="1" t="s">
        <v>25</v>
      </c>
      <c r="C5" s="1" t="s">
        <v>143</v>
      </c>
      <c r="D5" s="8" t="s">
        <v>130</v>
      </c>
    </row>
    <row r="6" ht="14.25" customHeight="1">
      <c r="A6" s="1">
        <v>5.0</v>
      </c>
      <c r="B6" s="1" t="s">
        <v>17</v>
      </c>
      <c r="C6" s="1" t="s">
        <v>144</v>
      </c>
      <c r="D6" s="8" t="s">
        <v>130</v>
      </c>
    </row>
    <row r="7" ht="14.25" customHeight="1">
      <c r="A7" s="1">
        <v>6.0</v>
      </c>
      <c r="B7" s="1" t="s">
        <v>121</v>
      </c>
      <c r="C7" s="1" t="s">
        <v>145</v>
      </c>
      <c r="D7" s="8" t="s">
        <v>130</v>
      </c>
    </row>
    <row r="8" ht="14.25" customHeight="1">
      <c r="A8" s="1">
        <v>7.0</v>
      </c>
      <c r="B8" s="1" t="s">
        <v>37</v>
      </c>
      <c r="C8" s="1" t="s">
        <v>146</v>
      </c>
      <c r="D8" s="8" t="s">
        <v>130</v>
      </c>
    </row>
    <row r="9" ht="14.25" customHeight="1">
      <c r="A9" s="1">
        <v>8.0</v>
      </c>
      <c r="B9" s="1" t="s">
        <v>36</v>
      </c>
      <c r="C9" s="1" t="s">
        <v>147</v>
      </c>
      <c r="D9" s="8" t="s">
        <v>130</v>
      </c>
    </row>
    <row r="10" ht="14.25" customHeight="1">
      <c r="A10" s="1">
        <v>9.0</v>
      </c>
      <c r="B10" s="1" t="s">
        <v>15</v>
      </c>
      <c r="C10" s="1" t="s">
        <v>148</v>
      </c>
      <c r="D10" s="8" t="s">
        <v>130</v>
      </c>
    </row>
    <row r="11" ht="14.25" customHeight="1">
      <c r="A11" s="1">
        <v>10.0</v>
      </c>
      <c r="B11" s="1" t="s">
        <v>38</v>
      </c>
      <c r="C11" s="1" t="s">
        <v>149</v>
      </c>
      <c r="D11" s="8" t="s">
        <v>130</v>
      </c>
    </row>
    <row r="12" ht="14.25" customHeight="1">
      <c r="A12" s="1">
        <v>11.0</v>
      </c>
      <c r="B12" s="1" t="s">
        <v>40</v>
      </c>
      <c r="C12" s="1" t="s">
        <v>150</v>
      </c>
      <c r="D12" s="8" t="s">
        <v>130</v>
      </c>
    </row>
    <row r="13" ht="14.25" customHeight="1">
      <c r="A13" s="1">
        <v>12.0</v>
      </c>
      <c r="B13" s="1" t="s">
        <v>20</v>
      </c>
      <c r="C13" s="1" t="s">
        <v>151</v>
      </c>
      <c r="D13" s="8" t="s">
        <v>130</v>
      </c>
    </row>
    <row r="14" ht="14.25" customHeight="1">
      <c r="A14" s="1">
        <v>13.0</v>
      </c>
      <c r="B14" s="1" t="s">
        <v>27</v>
      </c>
      <c r="C14" s="1" t="s">
        <v>152</v>
      </c>
      <c r="D14" s="8" t="s">
        <v>130</v>
      </c>
    </row>
    <row r="15" ht="14.25" customHeight="1">
      <c r="A15" s="1">
        <v>14.0</v>
      </c>
      <c r="B15" s="1" t="s">
        <v>24</v>
      </c>
      <c r="C15" s="1" t="s">
        <v>153</v>
      </c>
      <c r="D15" s="8" t="s">
        <v>130</v>
      </c>
    </row>
    <row r="16" ht="14.25" customHeight="1">
      <c r="A16" s="1">
        <v>15.0</v>
      </c>
      <c r="B16" s="1" t="s">
        <v>23</v>
      </c>
      <c r="C16" s="1" t="s">
        <v>154</v>
      </c>
      <c r="D16" s="8" t="s">
        <v>130</v>
      </c>
    </row>
    <row r="17" ht="14.25" customHeight="1">
      <c r="A17" s="1">
        <v>16.0</v>
      </c>
      <c r="B17" s="1" t="s">
        <v>35</v>
      </c>
      <c r="C17" s="1" t="s">
        <v>155</v>
      </c>
      <c r="D17" s="8" t="s">
        <v>130</v>
      </c>
    </row>
    <row r="18" ht="14.25" customHeight="1">
      <c r="A18" s="1">
        <v>17.0</v>
      </c>
      <c r="B18" s="1" t="s">
        <v>26</v>
      </c>
      <c r="C18" s="1" t="s">
        <v>156</v>
      </c>
      <c r="D18" s="8" t="s">
        <v>130</v>
      </c>
    </row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1E4F5"/>
    <pageSetUpPr/>
  </sheetPr>
  <sheetViews>
    <sheetView workbookViewId="0"/>
  </sheetViews>
  <sheetFormatPr customHeight="1" defaultColWidth="12.63" defaultRowHeight="15.0"/>
  <cols>
    <col customWidth="1" min="1" max="26" width="19.5"/>
  </cols>
  <sheetData>
    <row r="1" ht="14.25" customHeight="1">
      <c r="A1" s="11" t="s">
        <v>46</v>
      </c>
      <c r="B1" s="11" t="s">
        <v>47</v>
      </c>
      <c r="C1" s="12" t="s">
        <v>157</v>
      </c>
      <c r="D1" s="13" t="s">
        <v>158</v>
      </c>
      <c r="E1" s="11" t="s">
        <v>159</v>
      </c>
      <c r="F1" s="11" t="s">
        <v>160</v>
      </c>
      <c r="G1" s="14" t="s">
        <v>127</v>
      </c>
      <c r="H1" s="11" t="s">
        <v>161</v>
      </c>
      <c r="I1" s="11" t="s">
        <v>162</v>
      </c>
      <c r="J1" s="11" t="s">
        <v>163</v>
      </c>
    </row>
    <row r="2" ht="14.25" customHeight="1">
      <c r="A2" s="15" t="s">
        <v>33</v>
      </c>
      <c r="B2" s="15" t="s">
        <v>12</v>
      </c>
      <c r="C2" s="16">
        <v>4.0</v>
      </c>
      <c r="D2" s="17"/>
      <c r="E2" s="17">
        <v>1.0</v>
      </c>
      <c r="F2" s="15"/>
      <c r="G2" s="18" t="s">
        <v>130</v>
      </c>
      <c r="H2" s="15">
        <v>1.0</v>
      </c>
      <c r="I2" s="15">
        <f t="array" ref="I2">XLOOKUP(CAL!$A2,MACROZONAS!B:B,MACROZONAS!A:A)</f>
        <v>1</v>
      </c>
      <c r="J2" s="15">
        <f t="array" ref="J2">XLOOKUP(CAL!$B2,SETORES!B:B,SETORES!A:A)</f>
        <v>1</v>
      </c>
    </row>
    <row r="3" ht="14.25" customHeight="1">
      <c r="A3" s="15" t="s">
        <v>33</v>
      </c>
      <c r="B3" s="15" t="s">
        <v>34</v>
      </c>
      <c r="C3" s="16">
        <v>3.0</v>
      </c>
      <c r="D3" s="17"/>
      <c r="E3" s="17">
        <v>1.0</v>
      </c>
      <c r="F3" s="15"/>
      <c r="G3" s="18" t="s">
        <v>130</v>
      </c>
      <c r="H3" s="15">
        <v>2.0</v>
      </c>
      <c r="I3" s="15">
        <f t="array" ref="I3">XLOOKUP(CAL!$A3,MACROZONAS!B:B,MACROZONAS!A:A)</f>
        <v>1</v>
      </c>
      <c r="J3" s="15">
        <f t="array" ref="J3">XLOOKUP(CAL!$B3,SETORES!B:B,SETORES!A:A)</f>
        <v>2</v>
      </c>
    </row>
    <row r="4" ht="14.25" customHeight="1">
      <c r="A4" s="15" t="s">
        <v>33</v>
      </c>
      <c r="B4" s="15" t="s">
        <v>37</v>
      </c>
      <c r="C4" s="16">
        <v>4.0</v>
      </c>
      <c r="D4" s="17"/>
      <c r="E4" s="17">
        <v>3.0</v>
      </c>
      <c r="F4" s="15"/>
      <c r="G4" s="18" t="s">
        <v>130</v>
      </c>
      <c r="H4" s="15">
        <v>3.0</v>
      </c>
      <c r="I4" s="15">
        <f t="array" ref="I4">XLOOKUP(CAL!$A4,MACROZONAS!B:B,MACROZONAS!A:A)</f>
        <v>1</v>
      </c>
      <c r="J4" s="15">
        <f t="array" ref="J4">XLOOKUP(CAL!$B4,SETORES!B:B,SETORES!A:A)</f>
        <v>7</v>
      </c>
    </row>
    <row r="5" ht="14.25" customHeight="1">
      <c r="A5" s="15" t="s">
        <v>33</v>
      </c>
      <c r="B5" s="15" t="s">
        <v>36</v>
      </c>
      <c r="C5" s="16">
        <v>2.0</v>
      </c>
      <c r="D5" s="17"/>
      <c r="E5" s="17">
        <v>1.0</v>
      </c>
      <c r="F5" s="15"/>
      <c r="G5" s="18" t="s">
        <v>130</v>
      </c>
      <c r="H5" s="15">
        <v>4.0</v>
      </c>
      <c r="I5" s="15">
        <f t="array" ref="I5">XLOOKUP(CAL!$A5,MACROZONAS!B:B,MACROZONAS!A:A)</f>
        <v>1</v>
      </c>
      <c r="J5" s="15">
        <f t="array" ref="J5">XLOOKUP(CAL!$B5,SETORES!B:B,SETORES!A:A)</f>
        <v>8</v>
      </c>
    </row>
    <row r="6" ht="14.25" customHeight="1">
      <c r="A6" s="15" t="s">
        <v>33</v>
      </c>
      <c r="B6" s="15" t="s">
        <v>38</v>
      </c>
      <c r="C6" s="16">
        <v>0.1</v>
      </c>
      <c r="D6" s="17">
        <v>10.0</v>
      </c>
      <c r="E6" s="17"/>
      <c r="F6" s="15"/>
      <c r="G6" s="18" t="s">
        <v>130</v>
      </c>
      <c r="H6" s="15">
        <v>5.0</v>
      </c>
      <c r="I6" s="15">
        <f t="array" ref="I6">XLOOKUP(CAL!$A6,MACROZONAS!B:B,MACROZONAS!A:A)</f>
        <v>1</v>
      </c>
      <c r="J6" s="15">
        <f t="array" ref="J6">XLOOKUP(CAL!$B6,SETORES!B:B,SETORES!A:A)</f>
        <v>10</v>
      </c>
    </row>
    <row r="7" ht="14.25" customHeight="1">
      <c r="A7" s="15" t="s">
        <v>33</v>
      </c>
      <c r="B7" s="15" t="s">
        <v>40</v>
      </c>
      <c r="C7" s="16">
        <v>0.1</v>
      </c>
      <c r="D7" s="17">
        <v>10.0</v>
      </c>
      <c r="E7" s="17"/>
      <c r="F7" s="15"/>
      <c r="G7" s="18" t="s">
        <v>130</v>
      </c>
      <c r="H7" s="15">
        <v>6.0</v>
      </c>
      <c r="I7" s="15">
        <f t="array" ref="I7">XLOOKUP(CAL!$A7,MACROZONAS!B:B,MACROZONAS!A:A)</f>
        <v>1</v>
      </c>
      <c r="J7" s="15">
        <f t="array" ref="J7">XLOOKUP(CAL!$B7,SETORES!B:B,SETORES!A:A)</f>
        <v>11</v>
      </c>
    </row>
    <row r="8" ht="14.25" customHeight="1">
      <c r="A8" s="15" t="s">
        <v>33</v>
      </c>
      <c r="B8" s="15" t="s">
        <v>24</v>
      </c>
      <c r="C8" s="16">
        <v>4.0</v>
      </c>
      <c r="D8" s="17">
        <v>1.0</v>
      </c>
      <c r="E8" s="17">
        <v>1.0</v>
      </c>
      <c r="F8" s="15"/>
      <c r="G8" s="18" t="s">
        <v>130</v>
      </c>
      <c r="H8" s="15">
        <v>7.0</v>
      </c>
      <c r="I8" s="15">
        <f t="array" ref="I8">XLOOKUP(CAL!$A8,MACROZONAS!B:B,MACROZONAS!A:A)</f>
        <v>1</v>
      </c>
      <c r="J8" s="15">
        <f t="array" ref="J8">XLOOKUP(CAL!$B8,SETORES!B:B,SETORES!A:A)</f>
        <v>14</v>
      </c>
    </row>
    <row r="9" ht="14.25" customHeight="1">
      <c r="A9" s="15" t="s">
        <v>33</v>
      </c>
      <c r="B9" s="15" t="s">
        <v>35</v>
      </c>
      <c r="C9" s="16">
        <v>4.0</v>
      </c>
      <c r="D9" s="17"/>
      <c r="E9" s="17">
        <v>1.0</v>
      </c>
      <c r="F9" s="15"/>
      <c r="G9" s="18" t="s">
        <v>130</v>
      </c>
      <c r="H9" s="15">
        <v>8.0</v>
      </c>
      <c r="I9" s="15">
        <f t="array" ref="I9">XLOOKUP(CAL!$A9,MACROZONAS!B:B,MACROZONAS!A:A)</f>
        <v>1</v>
      </c>
      <c r="J9" s="15">
        <f t="array" ref="J9">XLOOKUP(CAL!$B9,SETORES!B:B,SETORES!A:A)</f>
        <v>16</v>
      </c>
    </row>
    <row r="10" ht="14.25" customHeight="1">
      <c r="A10" s="19" t="s">
        <v>33</v>
      </c>
      <c r="B10" s="19" t="s">
        <v>26</v>
      </c>
      <c r="C10" s="20">
        <v>2.0</v>
      </c>
      <c r="D10" s="21"/>
      <c r="E10" s="21"/>
      <c r="F10" s="19"/>
      <c r="G10" s="18" t="s">
        <v>130</v>
      </c>
      <c r="H10" s="15">
        <v>9.0</v>
      </c>
      <c r="I10" s="19">
        <f t="array" ref="I10">XLOOKUP(CAL!$A10,MACROZONAS!B:B,MACROZONAS!A:A)</f>
        <v>1</v>
      </c>
      <c r="J10" s="19">
        <f t="array" ref="J10">XLOOKUP(CAL!$B10,SETORES!B:B,SETORES!A:A)</f>
        <v>17</v>
      </c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ht="14.25" customHeight="1">
      <c r="A11" s="15" t="s">
        <v>28</v>
      </c>
      <c r="B11" s="15" t="s">
        <v>41</v>
      </c>
      <c r="C11" s="16">
        <v>2.0</v>
      </c>
      <c r="D11" s="17"/>
      <c r="E11" s="17"/>
      <c r="F11" s="15"/>
      <c r="G11" s="18" t="s">
        <v>130</v>
      </c>
      <c r="H11" s="15">
        <v>10.0</v>
      </c>
      <c r="I11" s="15">
        <f t="array" ref="I11">XLOOKUP(CAL!$A11,MACROZONAS!B:B,MACROZONAS!A:A)</f>
        <v>2</v>
      </c>
      <c r="J11" s="15">
        <f t="array" ref="J11">XLOOKUP(CAL!$B11,SETORES!B:B,SETORES!A:A)</f>
        <v>3</v>
      </c>
    </row>
    <row r="12" ht="14.25" customHeight="1">
      <c r="A12" s="15" t="s">
        <v>28</v>
      </c>
      <c r="B12" s="15" t="s">
        <v>25</v>
      </c>
      <c r="C12" s="16">
        <v>2.0</v>
      </c>
      <c r="D12" s="17"/>
      <c r="E12" s="17"/>
      <c r="F12" s="15"/>
      <c r="G12" s="18" t="s">
        <v>130</v>
      </c>
      <c r="H12" s="15">
        <v>11.0</v>
      </c>
      <c r="I12" s="15">
        <f t="array" ref="I12">XLOOKUP(CAL!$A12,MACROZONAS!B:B,MACROZONAS!A:A)</f>
        <v>2</v>
      </c>
      <c r="J12" s="15">
        <f t="array" ref="J12">XLOOKUP(CAL!$B12,SETORES!B:B,SETORES!A:A)</f>
        <v>4</v>
      </c>
    </row>
    <row r="13" ht="14.25" customHeight="1">
      <c r="A13" s="15" t="s">
        <v>28</v>
      </c>
      <c r="B13" s="15" t="s">
        <v>17</v>
      </c>
      <c r="C13" s="16">
        <v>2.0</v>
      </c>
      <c r="D13" s="17"/>
      <c r="E13" s="17"/>
      <c r="F13" s="15"/>
      <c r="G13" s="18" t="s">
        <v>130</v>
      </c>
      <c r="H13" s="15">
        <v>12.0</v>
      </c>
      <c r="I13" s="15">
        <f t="array" ref="I13">XLOOKUP(CAL!$A13,MACROZONAS!B:B,MACROZONAS!A:A)</f>
        <v>2</v>
      </c>
      <c r="J13" s="15">
        <f t="array" ref="J13">XLOOKUP(CAL!$B13,SETORES!B:B,SETORES!A:A)</f>
        <v>5</v>
      </c>
    </row>
    <row r="14" ht="14.25" customHeight="1">
      <c r="A14" s="15" t="s">
        <v>28</v>
      </c>
      <c r="B14" s="15" t="s">
        <v>121</v>
      </c>
      <c r="C14" s="16">
        <v>2.0</v>
      </c>
      <c r="D14" s="17"/>
      <c r="E14" s="17"/>
      <c r="F14" s="15"/>
      <c r="G14" s="18" t="s">
        <v>130</v>
      </c>
      <c r="H14" s="15">
        <v>13.0</v>
      </c>
      <c r="I14" s="15">
        <f t="array" ref="I14">XLOOKUP(CAL!$A14,MACROZONAS!B:B,MACROZONAS!A:A)</f>
        <v>2</v>
      </c>
      <c r="J14" s="15">
        <f t="array" ref="J14">XLOOKUP(CAL!$B14,SETORES!B:B,SETORES!A:A)</f>
        <v>6</v>
      </c>
    </row>
    <row r="15" ht="14.25" customHeight="1">
      <c r="A15" s="15" t="s">
        <v>28</v>
      </c>
      <c r="B15" s="15" t="s">
        <v>15</v>
      </c>
      <c r="C15" s="16">
        <v>1.0</v>
      </c>
      <c r="D15" s="17"/>
      <c r="E15" s="17"/>
      <c r="F15" s="15"/>
      <c r="G15" s="18" t="s">
        <v>130</v>
      </c>
      <c r="H15" s="15">
        <v>14.0</v>
      </c>
      <c r="I15" s="15">
        <f t="array" ref="I15">XLOOKUP(CAL!$A15,MACROZONAS!B:B,MACROZONAS!A:A)</f>
        <v>2</v>
      </c>
      <c r="J15" s="15">
        <f t="array" ref="J15">XLOOKUP(CAL!$B15,SETORES!B:B,SETORES!A:A)</f>
        <v>9</v>
      </c>
    </row>
    <row r="16" ht="14.25" customHeight="1">
      <c r="A16" s="15" t="s">
        <v>28</v>
      </c>
      <c r="B16" s="15" t="s">
        <v>38</v>
      </c>
      <c r="C16" s="16">
        <v>0.1</v>
      </c>
      <c r="D16" s="17">
        <v>10.0</v>
      </c>
      <c r="E16" s="17"/>
      <c r="F16" s="15"/>
      <c r="G16" s="18" t="s">
        <v>130</v>
      </c>
      <c r="H16" s="15">
        <v>15.0</v>
      </c>
      <c r="I16" s="15">
        <f t="array" ref="I16">XLOOKUP(CAL!$A16,MACROZONAS!B:B,MACROZONAS!A:A)</f>
        <v>2</v>
      </c>
      <c r="J16" s="15">
        <f t="array" ref="J16">XLOOKUP(CAL!$B16,SETORES!B:B,SETORES!A:A)</f>
        <v>10</v>
      </c>
    </row>
    <row r="17" ht="14.25" customHeight="1">
      <c r="A17" s="15" t="s">
        <v>28</v>
      </c>
      <c r="B17" s="15" t="s">
        <v>40</v>
      </c>
      <c r="C17" s="16">
        <v>0.1</v>
      </c>
      <c r="D17" s="17">
        <v>10.0</v>
      </c>
      <c r="E17" s="17"/>
      <c r="F17" s="15"/>
      <c r="G17" s="18" t="s">
        <v>130</v>
      </c>
      <c r="H17" s="15">
        <v>16.0</v>
      </c>
      <c r="I17" s="15">
        <f t="array" ref="I17">XLOOKUP(CAL!$A17,MACROZONAS!B:B,MACROZONAS!A:A)</f>
        <v>2</v>
      </c>
      <c r="J17" s="15">
        <f t="array" ref="J17">XLOOKUP(CAL!$B17,SETORES!B:B,SETORES!A:A)</f>
        <v>11</v>
      </c>
    </row>
    <row r="18" ht="14.25" customHeight="1">
      <c r="A18" s="15" t="s">
        <v>28</v>
      </c>
      <c r="B18" s="15" t="s">
        <v>24</v>
      </c>
      <c r="C18" s="16">
        <v>2.0</v>
      </c>
      <c r="D18" s="17">
        <v>1.0</v>
      </c>
      <c r="E18" s="17"/>
      <c r="F18" s="15"/>
      <c r="G18" s="18" t="s">
        <v>130</v>
      </c>
      <c r="H18" s="15">
        <v>17.0</v>
      </c>
      <c r="I18" s="15">
        <f t="array" ref="I18">XLOOKUP(CAL!$A18,MACROZONAS!B:B,MACROZONAS!A:A)</f>
        <v>2</v>
      </c>
      <c r="J18" s="15">
        <f t="array" ref="J18">XLOOKUP(CAL!$B18,SETORES!B:B,SETORES!A:A)</f>
        <v>14</v>
      </c>
    </row>
    <row r="19" ht="14.25" customHeight="1">
      <c r="A19" s="15" t="s">
        <v>28</v>
      </c>
      <c r="B19" s="15" t="s">
        <v>23</v>
      </c>
      <c r="C19" s="16">
        <v>2.0</v>
      </c>
      <c r="D19" s="17"/>
      <c r="E19" s="17"/>
      <c r="F19" s="15"/>
      <c r="G19" s="18" t="s">
        <v>130</v>
      </c>
      <c r="H19" s="15">
        <v>18.0</v>
      </c>
      <c r="I19" s="15">
        <f t="array" ref="I19">XLOOKUP(CAL!$A19,MACROZONAS!B:B,MACROZONAS!A:A)</f>
        <v>2</v>
      </c>
      <c r="J19" s="15">
        <f t="array" ref="J19">XLOOKUP(CAL!$B19,SETORES!B:B,SETORES!A:A)</f>
        <v>15</v>
      </c>
    </row>
    <row r="20" ht="14.25" customHeight="1">
      <c r="A20" s="15" t="s">
        <v>28</v>
      </c>
      <c r="B20" s="15" t="s">
        <v>35</v>
      </c>
      <c r="C20" s="16">
        <v>2.0</v>
      </c>
      <c r="D20" s="17"/>
      <c r="E20" s="17">
        <v>1.0</v>
      </c>
      <c r="F20" s="15"/>
      <c r="G20" s="18" t="s">
        <v>130</v>
      </c>
      <c r="H20" s="15">
        <v>19.0</v>
      </c>
      <c r="I20" s="15">
        <f t="array" ref="I20">XLOOKUP(CAL!$A20,MACROZONAS!B:B,MACROZONAS!A:A)</f>
        <v>2</v>
      </c>
      <c r="J20" s="15">
        <f t="array" ref="J20">XLOOKUP(CAL!$B20,SETORES!B:B,SETORES!A:A)</f>
        <v>16</v>
      </c>
    </row>
    <row r="21" ht="14.25" customHeight="1">
      <c r="A21" s="19" t="s">
        <v>28</v>
      </c>
      <c r="B21" s="19" t="s">
        <v>26</v>
      </c>
      <c r="C21" s="20">
        <v>1.0</v>
      </c>
      <c r="D21" s="21"/>
      <c r="E21" s="21"/>
      <c r="F21" s="19"/>
      <c r="G21" s="18" t="s">
        <v>130</v>
      </c>
      <c r="H21" s="15">
        <v>20.0</v>
      </c>
      <c r="I21" s="19">
        <f t="array" ref="I21">XLOOKUP(CAL!$A21,MACROZONAS!B:B,MACROZONAS!A:A)</f>
        <v>2</v>
      </c>
      <c r="J21" s="19">
        <f t="array" ref="J21">XLOOKUP(CAL!$B21,SETORES!B:B,SETORES!A:A)</f>
        <v>17</v>
      </c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 ht="14.25" customHeight="1">
      <c r="A22" s="15" t="s">
        <v>42</v>
      </c>
      <c r="B22" s="15" t="s">
        <v>41</v>
      </c>
      <c r="C22" s="16">
        <v>1.5</v>
      </c>
      <c r="D22" s="17"/>
      <c r="E22" s="17"/>
      <c r="F22" s="15"/>
      <c r="G22" s="18" t="s">
        <v>130</v>
      </c>
      <c r="H22" s="15">
        <v>21.0</v>
      </c>
      <c r="I22" s="15">
        <f t="array" ref="I22">XLOOKUP(CAL!$A22,MACROZONAS!B:B,MACROZONAS!A:A)</f>
        <v>3</v>
      </c>
      <c r="J22" s="15">
        <f t="array" ref="J22">XLOOKUP(CAL!$B22,SETORES!B:B,SETORES!A:A)</f>
        <v>3</v>
      </c>
    </row>
    <row r="23" ht="14.25" customHeight="1">
      <c r="A23" s="15" t="s">
        <v>42</v>
      </c>
      <c r="B23" s="15" t="s">
        <v>25</v>
      </c>
      <c r="C23" s="16">
        <v>1.5</v>
      </c>
      <c r="D23" s="17"/>
      <c r="E23" s="17"/>
      <c r="F23" s="15"/>
      <c r="G23" s="18" t="s">
        <v>130</v>
      </c>
      <c r="H23" s="15">
        <v>22.0</v>
      </c>
      <c r="I23" s="15">
        <f t="array" ref="I23">XLOOKUP(CAL!$A23,MACROZONAS!B:B,MACROZONAS!A:A)</f>
        <v>3</v>
      </c>
      <c r="J23" s="15">
        <f t="array" ref="J23">XLOOKUP(CAL!$B23,SETORES!B:B,SETORES!A:A)</f>
        <v>4</v>
      </c>
    </row>
    <row r="24" ht="14.25" customHeight="1">
      <c r="A24" s="15" t="s">
        <v>42</v>
      </c>
      <c r="B24" s="15" t="s">
        <v>17</v>
      </c>
      <c r="C24" s="16">
        <v>1.5</v>
      </c>
      <c r="D24" s="17"/>
      <c r="E24" s="17"/>
      <c r="F24" s="15"/>
      <c r="G24" s="18" t="s">
        <v>130</v>
      </c>
      <c r="H24" s="15">
        <v>23.0</v>
      </c>
      <c r="I24" s="15">
        <f t="array" ref="I24">XLOOKUP(CAL!$A24,MACROZONAS!B:B,MACROZONAS!A:A)</f>
        <v>3</v>
      </c>
      <c r="J24" s="15">
        <f t="array" ref="J24">XLOOKUP(CAL!$B24,SETORES!B:B,SETORES!A:A)</f>
        <v>5</v>
      </c>
    </row>
    <row r="25" ht="14.25" customHeight="1">
      <c r="A25" s="15" t="s">
        <v>42</v>
      </c>
      <c r="B25" s="15" t="s">
        <v>121</v>
      </c>
      <c r="C25" s="16">
        <v>1.5</v>
      </c>
      <c r="D25" s="17"/>
      <c r="E25" s="17"/>
      <c r="F25" s="15"/>
      <c r="G25" s="18" t="s">
        <v>130</v>
      </c>
      <c r="H25" s="15">
        <v>24.0</v>
      </c>
      <c r="I25" s="15">
        <f t="array" ref="I25">XLOOKUP(CAL!$A25,MACROZONAS!B:B,MACROZONAS!A:A)</f>
        <v>3</v>
      </c>
      <c r="J25" s="15">
        <f t="array" ref="J25">XLOOKUP(CAL!$B25,SETORES!B:B,SETORES!A:A)</f>
        <v>6</v>
      </c>
    </row>
    <row r="26" ht="14.25" customHeight="1">
      <c r="A26" s="15" t="s">
        <v>42</v>
      </c>
      <c r="B26" s="15" t="s">
        <v>38</v>
      </c>
      <c r="C26" s="16">
        <v>0.1</v>
      </c>
      <c r="D26" s="17">
        <v>10.0</v>
      </c>
      <c r="E26" s="17"/>
      <c r="F26" s="15"/>
      <c r="G26" s="18" t="s">
        <v>130</v>
      </c>
      <c r="H26" s="15">
        <v>25.0</v>
      </c>
      <c r="I26" s="15">
        <f t="array" ref="I26">XLOOKUP(CAL!$A26,MACROZONAS!B:B,MACROZONAS!A:A)</f>
        <v>3</v>
      </c>
      <c r="J26" s="15">
        <f t="array" ref="J26">XLOOKUP(CAL!$B26,SETORES!B:B,SETORES!A:A)</f>
        <v>10</v>
      </c>
    </row>
    <row r="27" ht="14.25" customHeight="1">
      <c r="A27" s="15" t="s">
        <v>42</v>
      </c>
      <c r="B27" s="15" t="s">
        <v>40</v>
      </c>
      <c r="C27" s="16">
        <v>0.1</v>
      </c>
      <c r="D27" s="17">
        <v>10.0</v>
      </c>
      <c r="E27" s="17"/>
      <c r="F27" s="15"/>
      <c r="G27" s="18" t="s">
        <v>130</v>
      </c>
      <c r="H27" s="15">
        <v>26.0</v>
      </c>
      <c r="I27" s="15">
        <f t="array" ref="I27">XLOOKUP(CAL!$A27,MACROZONAS!B:B,MACROZONAS!A:A)</f>
        <v>3</v>
      </c>
      <c r="J27" s="15">
        <f t="array" ref="J27">XLOOKUP(CAL!$B27,SETORES!B:B,SETORES!A:A)</f>
        <v>11</v>
      </c>
    </row>
    <row r="28" ht="14.25" customHeight="1">
      <c r="A28" s="15" t="s">
        <v>42</v>
      </c>
      <c r="B28" s="15" t="s">
        <v>20</v>
      </c>
      <c r="C28" s="16">
        <v>1.0</v>
      </c>
      <c r="D28" s="17"/>
      <c r="E28" s="17"/>
      <c r="F28" s="15"/>
      <c r="G28" s="18" t="s">
        <v>130</v>
      </c>
      <c r="H28" s="15">
        <v>27.0</v>
      </c>
      <c r="I28" s="15">
        <f t="array" ref="I28">XLOOKUP(CAL!$A28,MACROZONAS!B:B,MACROZONAS!A:A)</f>
        <v>3</v>
      </c>
      <c r="J28" s="15">
        <f t="array" ref="J28">XLOOKUP(CAL!$B28,SETORES!B:B,SETORES!A:A)</f>
        <v>12</v>
      </c>
    </row>
    <row r="29" ht="14.25" customHeight="1">
      <c r="A29" s="15" t="s">
        <v>42</v>
      </c>
      <c r="B29" s="15" t="s">
        <v>24</v>
      </c>
      <c r="C29" s="16">
        <v>1.0</v>
      </c>
      <c r="D29" s="17">
        <v>1.0</v>
      </c>
      <c r="E29" s="17"/>
      <c r="F29" s="15"/>
      <c r="G29" s="18" t="s">
        <v>130</v>
      </c>
      <c r="H29" s="15">
        <v>28.0</v>
      </c>
      <c r="I29" s="15">
        <f t="array" ref="I29">XLOOKUP(CAL!$A29,MACROZONAS!B:B,MACROZONAS!A:A)</f>
        <v>3</v>
      </c>
      <c r="J29" s="15">
        <f t="array" ref="J29">XLOOKUP(CAL!$B29,SETORES!B:B,SETORES!A:A)</f>
        <v>14</v>
      </c>
    </row>
    <row r="30" ht="14.25" customHeight="1">
      <c r="A30" s="15" t="s">
        <v>42</v>
      </c>
      <c r="B30" s="15" t="s">
        <v>35</v>
      </c>
      <c r="C30" s="16">
        <v>1.5</v>
      </c>
      <c r="D30" s="17"/>
      <c r="E30" s="17">
        <v>1.0</v>
      </c>
      <c r="F30" s="15"/>
      <c r="G30" s="18" t="s">
        <v>130</v>
      </c>
      <c r="H30" s="15">
        <v>29.0</v>
      </c>
      <c r="I30" s="15">
        <f t="array" ref="I30">XLOOKUP(CAL!$A30,MACROZONAS!B:B,MACROZONAS!A:A)</f>
        <v>3</v>
      </c>
      <c r="J30" s="15">
        <f t="array" ref="J30">XLOOKUP(CAL!$B30,SETORES!B:B,SETORES!A:A)</f>
        <v>16</v>
      </c>
    </row>
    <row r="31" ht="14.25" customHeight="1">
      <c r="A31" s="15" t="s">
        <v>42</v>
      </c>
      <c r="B31" s="19" t="s">
        <v>26</v>
      </c>
      <c r="C31" s="16">
        <v>1.0</v>
      </c>
      <c r="D31" s="17"/>
      <c r="E31" s="17"/>
      <c r="F31" s="15"/>
      <c r="G31" s="18" t="s">
        <v>130</v>
      </c>
      <c r="H31" s="15">
        <v>30.0</v>
      </c>
      <c r="I31" s="15">
        <f t="array" ref="I31">XLOOKUP(CAL!$A31,MACROZONAS!B:B,MACROZONAS!A:A)</f>
        <v>3</v>
      </c>
      <c r="J31" s="15">
        <f t="array" ref="J31">XLOOKUP(CAL!$B31,SETORES!B:B,SETORES!A:A)</f>
        <v>17</v>
      </c>
    </row>
    <row r="32" ht="14.25" customHeight="1">
      <c r="A32" s="15" t="s">
        <v>18</v>
      </c>
      <c r="B32" s="15" t="s">
        <v>41</v>
      </c>
      <c r="C32" s="16">
        <v>1.0</v>
      </c>
      <c r="D32" s="17"/>
      <c r="E32" s="17"/>
      <c r="F32" s="15"/>
      <c r="G32" s="18" t="s">
        <v>130</v>
      </c>
      <c r="H32" s="15">
        <v>31.0</v>
      </c>
      <c r="I32" s="15">
        <f t="array" ref="I32">XLOOKUP(CAL!$A32,MACROZONAS!B:B,MACROZONAS!A:A)</f>
        <v>4</v>
      </c>
      <c r="J32" s="15">
        <f t="array" ref="J32">XLOOKUP(CAL!$B32,SETORES!B:B,SETORES!A:A)</f>
        <v>3</v>
      </c>
    </row>
    <row r="33" ht="14.25" customHeight="1">
      <c r="A33" s="15" t="s">
        <v>18</v>
      </c>
      <c r="B33" s="15" t="s">
        <v>25</v>
      </c>
      <c r="C33" s="16">
        <v>1.0</v>
      </c>
      <c r="D33" s="17"/>
      <c r="E33" s="17"/>
      <c r="F33" s="15"/>
      <c r="G33" s="18" t="s">
        <v>130</v>
      </c>
      <c r="H33" s="15">
        <v>32.0</v>
      </c>
      <c r="I33" s="15">
        <f t="array" ref="I33">XLOOKUP(CAL!$A33,MACROZONAS!B:B,MACROZONAS!A:A)</f>
        <v>4</v>
      </c>
      <c r="J33" s="15">
        <f t="array" ref="J33">XLOOKUP(CAL!$B33,SETORES!B:B,SETORES!A:A)</f>
        <v>4</v>
      </c>
    </row>
    <row r="34" ht="14.25" customHeight="1">
      <c r="A34" s="15" t="s">
        <v>18</v>
      </c>
      <c r="B34" s="15" t="s">
        <v>17</v>
      </c>
      <c r="C34" s="16">
        <v>1.0</v>
      </c>
      <c r="D34" s="17"/>
      <c r="E34" s="17"/>
      <c r="F34" s="15"/>
      <c r="G34" s="18" t="s">
        <v>130</v>
      </c>
      <c r="H34" s="15">
        <v>33.0</v>
      </c>
      <c r="I34" s="15">
        <f t="array" ref="I34">XLOOKUP(CAL!$A34,MACROZONAS!B:B,MACROZONAS!A:A)</f>
        <v>4</v>
      </c>
      <c r="J34" s="15">
        <f t="array" ref="J34">XLOOKUP(CAL!$B34,SETORES!B:B,SETORES!A:A)</f>
        <v>5</v>
      </c>
    </row>
    <row r="35" ht="14.25" customHeight="1">
      <c r="A35" s="15" t="s">
        <v>18</v>
      </c>
      <c r="B35" s="15" t="s">
        <v>121</v>
      </c>
      <c r="C35" s="16">
        <v>1.0</v>
      </c>
      <c r="D35" s="17"/>
      <c r="E35" s="17"/>
      <c r="F35" s="15"/>
      <c r="G35" s="18" t="s">
        <v>130</v>
      </c>
      <c r="H35" s="15">
        <v>34.0</v>
      </c>
      <c r="I35" s="15">
        <f t="array" ref="I35">XLOOKUP(CAL!$A35,MACROZONAS!B:B,MACROZONAS!A:A)</f>
        <v>4</v>
      </c>
      <c r="J35" s="15">
        <f t="array" ref="J35">XLOOKUP(CAL!$B35,SETORES!B:B,SETORES!A:A)</f>
        <v>6</v>
      </c>
    </row>
    <row r="36" ht="14.25" customHeight="1">
      <c r="A36" s="15" t="s">
        <v>18</v>
      </c>
      <c r="B36" s="15" t="s">
        <v>38</v>
      </c>
      <c r="C36" s="16">
        <v>0.1</v>
      </c>
      <c r="D36" s="17">
        <v>10.0</v>
      </c>
      <c r="E36" s="17"/>
      <c r="F36" s="15"/>
      <c r="G36" s="18" t="s">
        <v>130</v>
      </c>
      <c r="H36" s="15">
        <v>35.0</v>
      </c>
      <c r="I36" s="15">
        <f t="array" ref="I36">XLOOKUP(CAL!$A36,MACROZONAS!B:B,MACROZONAS!A:A)</f>
        <v>4</v>
      </c>
      <c r="J36" s="15">
        <f t="array" ref="J36">XLOOKUP(CAL!$B36,SETORES!B:B,SETORES!A:A)</f>
        <v>10</v>
      </c>
    </row>
    <row r="37" ht="14.25" customHeight="1">
      <c r="A37" s="15" t="s">
        <v>18</v>
      </c>
      <c r="B37" s="15" t="s">
        <v>40</v>
      </c>
      <c r="C37" s="16">
        <v>0.1</v>
      </c>
      <c r="D37" s="17">
        <v>10.0</v>
      </c>
      <c r="E37" s="17"/>
      <c r="F37" s="15"/>
      <c r="G37" s="18" t="s">
        <v>130</v>
      </c>
      <c r="H37" s="15">
        <v>36.0</v>
      </c>
      <c r="I37" s="15">
        <f t="array" ref="I37">XLOOKUP(CAL!$A37,MACROZONAS!B:B,MACROZONAS!A:A)</f>
        <v>4</v>
      </c>
      <c r="J37" s="15">
        <f t="array" ref="J37">XLOOKUP(CAL!$B37,SETORES!B:B,SETORES!A:A)</f>
        <v>11</v>
      </c>
    </row>
    <row r="38" ht="14.25" customHeight="1">
      <c r="A38" s="15" t="s">
        <v>18</v>
      </c>
      <c r="B38" s="15" t="s">
        <v>35</v>
      </c>
      <c r="C38" s="16">
        <v>4.0</v>
      </c>
      <c r="D38" s="17"/>
      <c r="E38" s="17">
        <v>1.0</v>
      </c>
      <c r="F38" s="15"/>
      <c r="G38" s="18" t="s">
        <v>130</v>
      </c>
      <c r="H38" s="15">
        <v>37.0</v>
      </c>
      <c r="I38" s="15">
        <f t="array" ref="I38">XLOOKUP(CAL!$A38,MACROZONAS!B:B,MACROZONAS!A:A)</f>
        <v>4</v>
      </c>
      <c r="J38" s="15">
        <f t="array" ref="J38">XLOOKUP(CAL!$B38,SETORES!B:B,SETORES!A:A)</f>
        <v>16</v>
      </c>
    </row>
    <row r="39" ht="14.25" customHeight="1">
      <c r="A39" s="15" t="s">
        <v>39</v>
      </c>
      <c r="B39" s="15" t="s">
        <v>41</v>
      </c>
      <c r="C39" s="16">
        <v>0.1</v>
      </c>
      <c r="D39" s="17"/>
      <c r="E39" s="17"/>
      <c r="F39" s="15"/>
      <c r="G39" s="18" t="s">
        <v>130</v>
      </c>
      <c r="H39" s="15">
        <v>38.0</v>
      </c>
      <c r="I39" s="15">
        <f t="array" ref="I39">XLOOKUP(CAL!$A39,MACROZONAS!B:B,MACROZONAS!A:A)</f>
        <v>5</v>
      </c>
      <c r="J39" s="15">
        <f t="array" ref="J39">XLOOKUP(CAL!$B39,SETORES!B:B,SETORES!A:A)</f>
        <v>3</v>
      </c>
    </row>
    <row r="40" ht="14.25" customHeight="1">
      <c r="A40" s="15" t="s">
        <v>39</v>
      </c>
      <c r="B40" s="15" t="s">
        <v>25</v>
      </c>
      <c r="C40" s="16">
        <v>0.1</v>
      </c>
      <c r="D40" s="17"/>
      <c r="E40" s="17"/>
      <c r="F40" s="15"/>
      <c r="G40" s="18" t="s">
        <v>130</v>
      </c>
      <c r="H40" s="15">
        <v>39.0</v>
      </c>
      <c r="I40" s="15">
        <f t="array" ref="I40">XLOOKUP(CAL!$A40,MACROZONAS!B:B,MACROZONAS!A:A)</f>
        <v>5</v>
      </c>
      <c r="J40" s="15">
        <f t="array" ref="J40">XLOOKUP(CAL!$B40,SETORES!B:B,SETORES!A:A)</f>
        <v>4</v>
      </c>
    </row>
    <row r="41" ht="14.25" customHeight="1">
      <c r="A41" s="15" t="s">
        <v>39</v>
      </c>
      <c r="B41" s="15" t="s">
        <v>17</v>
      </c>
      <c r="C41" s="16">
        <v>0.1</v>
      </c>
      <c r="D41" s="17"/>
      <c r="E41" s="17"/>
      <c r="F41" s="15"/>
      <c r="G41" s="18" t="s">
        <v>130</v>
      </c>
      <c r="H41" s="15">
        <v>40.0</v>
      </c>
      <c r="I41" s="15">
        <f t="array" ref="I41">XLOOKUP(CAL!$A41,MACROZONAS!B:B,MACROZONAS!A:A)</f>
        <v>5</v>
      </c>
      <c r="J41" s="15">
        <f t="array" ref="J41">XLOOKUP(CAL!$B41,SETORES!B:B,SETORES!A:A)</f>
        <v>5</v>
      </c>
    </row>
    <row r="42" ht="14.25" customHeight="1">
      <c r="A42" s="15" t="s">
        <v>39</v>
      </c>
      <c r="B42" s="15" t="s">
        <v>121</v>
      </c>
      <c r="C42" s="16">
        <v>0.1</v>
      </c>
      <c r="D42" s="17"/>
      <c r="E42" s="17"/>
      <c r="F42" s="15"/>
      <c r="G42" s="18" t="s">
        <v>130</v>
      </c>
      <c r="H42" s="15">
        <v>41.0</v>
      </c>
      <c r="I42" s="15">
        <f t="array" ref="I42">XLOOKUP(CAL!$A42,MACROZONAS!B:B,MACROZONAS!A:A)</f>
        <v>5</v>
      </c>
      <c r="J42" s="15">
        <f t="array" ref="J42">XLOOKUP(CAL!$B42,SETORES!B:B,SETORES!A:A)</f>
        <v>6</v>
      </c>
    </row>
    <row r="43" ht="14.25" customHeight="1">
      <c r="A43" s="15" t="s">
        <v>39</v>
      </c>
      <c r="B43" s="15" t="s">
        <v>38</v>
      </c>
      <c r="C43" s="16">
        <v>0.1</v>
      </c>
      <c r="D43" s="17">
        <v>10.0</v>
      </c>
      <c r="E43" s="17"/>
      <c r="F43" s="15"/>
      <c r="G43" s="18" t="s">
        <v>130</v>
      </c>
      <c r="H43" s="15">
        <v>42.0</v>
      </c>
      <c r="I43" s="15">
        <f t="array" ref="I43">XLOOKUP(CAL!$A43,MACROZONAS!B:B,MACROZONAS!A:A)</f>
        <v>5</v>
      </c>
      <c r="J43" s="15">
        <f t="array" ref="J43">XLOOKUP(CAL!$B43,SETORES!B:B,SETORES!A:A)</f>
        <v>10</v>
      </c>
    </row>
    <row r="44" ht="14.25" customHeight="1">
      <c r="A44" s="15" t="s">
        <v>39</v>
      </c>
      <c r="B44" s="15" t="s">
        <v>40</v>
      </c>
      <c r="C44" s="16">
        <v>0.1</v>
      </c>
      <c r="D44" s="17">
        <v>10.0</v>
      </c>
      <c r="E44" s="17"/>
      <c r="F44" s="15"/>
      <c r="G44" s="18" t="s">
        <v>130</v>
      </c>
      <c r="H44" s="15">
        <v>43.0</v>
      </c>
      <c r="I44" s="15">
        <f t="array" ref="I44">XLOOKUP(CAL!$A44,MACROZONAS!B:B,MACROZONAS!A:A)</f>
        <v>5</v>
      </c>
      <c r="J44" s="15">
        <f t="array" ref="J44">XLOOKUP(CAL!$B44,SETORES!B:B,SETORES!A:A)</f>
        <v>11</v>
      </c>
    </row>
    <row r="45" ht="14.25" customHeight="1">
      <c r="A45" s="15" t="s">
        <v>39</v>
      </c>
      <c r="B45" s="15" t="s">
        <v>35</v>
      </c>
      <c r="C45" s="16">
        <v>0.1</v>
      </c>
      <c r="D45" s="17"/>
      <c r="E45" s="17"/>
      <c r="F45" s="15"/>
      <c r="G45" s="18" t="s">
        <v>130</v>
      </c>
      <c r="H45" s="15">
        <v>44.0</v>
      </c>
      <c r="I45" s="15">
        <f t="array" ref="I45">XLOOKUP(CAL!$A45,MACROZONAS!B:B,MACROZONAS!A:A)</f>
        <v>5</v>
      </c>
      <c r="J45" s="15">
        <f t="array" ref="J45">XLOOKUP(CAL!$B45,SETORES!B:B,SETORES!A:A)</f>
        <v>16</v>
      </c>
    </row>
    <row r="46" ht="14.25" customHeight="1">
      <c r="A46" s="15" t="s">
        <v>39</v>
      </c>
      <c r="B46" s="19" t="s">
        <v>26</v>
      </c>
      <c r="C46" s="16">
        <v>0.1</v>
      </c>
      <c r="D46" s="17"/>
      <c r="E46" s="17"/>
      <c r="F46" s="15"/>
      <c r="G46" s="18" t="s">
        <v>130</v>
      </c>
      <c r="H46" s="15">
        <v>45.0</v>
      </c>
      <c r="I46" s="15">
        <f t="array" ref="I46">XLOOKUP(CAL!$A46,MACROZONAS!B:B,MACROZONAS!A:A)</f>
        <v>5</v>
      </c>
      <c r="J46" s="15">
        <f t="array" ref="J46">XLOOKUP(CAL!$B46,SETORES!B:B,SETORES!A:A)</f>
        <v>17</v>
      </c>
    </row>
    <row r="47" ht="14.25" customHeight="1">
      <c r="A47" s="15" t="s">
        <v>29</v>
      </c>
      <c r="B47" s="15" t="s">
        <v>41</v>
      </c>
      <c r="C47" s="16">
        <v>0.1</v>
      </c>
      <c r="D47" s="17"/>
      <c r="E47" s="17"/>
      <c r="F47" s="15"/>
      <c r="G47" s="18" t="s">
        <v>130</v>
      </c>
      <c r="H47" s="15">
        <v>46.0</v>
      </c>
      <c r="I47" s="15">
        <f t="array" ref="I47">XLOOKUP(CAL!$A47,MACROZONAS!B:B,MACROZONAS!A:A)</f>
        <v>6</v>
      </c>
      <c r="J47" s="15">
        <f t="array" ref="J47">XLOOKUP(CAL!$B47,SETORES!B:B,SETORES!A:A)</f>
        <v>3</v>
      </c>
    </row>
    <row r="48" ht="14.25" customHeight="1">
      <c r="A48" s="15" t="s">
        <v>29</v>
      </c>
      <c r="B48" s="15" t="s">
        <v>25</v>
      </c>
      <c r="C48" s="16">
        <v>0.1</v>
      </c>
      <c r="D48" s="17"/>
      <c r="E48" s="17"/>
      <c r="F48" s="15"/>
      <c r="G48" s="18" t="s">
        <v>130</v>
      </c>
      <c r="H48" s="15">
        <v>47.0</v>
      </c>
      <c r="I48" s="15">
        <f t="array" ref="I48">XLOOKUP(CAL!$A48,MACROZONAS!B:B,MACROZONAS!A:A)</f>
        <v>6</v>
      </c>
      <c r="J48" s="15">
        <f t="array" ref="J48">XLOOKUP(CAL!$B48,SETORES!B:B,SETORES!A:A)</f>
        <v>4</v>
      </c>
    </row>
    <row r="49" ht="14.25" customHeight="1">
      <c r="A49" s="15" t="s">
        <v>29</v>
      </c>
      <c r="B49" s="15" t="s">
        <v>17</v>
      </c>
      <c r="C49" s="16">
        <v>0.1</v>
      </c>
      <c r="D49" s="17"/>
      <c r="E49" s="17"/>
      <c r="F49" s="15"/>
      <c r="G49" s="18" t="s">
        <v>130</v>
      </c>
      <c r="H49" s="15">
        <v>48.0</v>
      </c>
      <c r="I49" s="15">
        <f t="array" ref="I49">XLOOKUP(CAL!$A49,MACROZONAS!B:B,MACROZONAS!A:A)</f>
        <v>6</v>
      </c>
      <c r="J49" s="15">
        <f t="array" ref="J49">XLOOKUP(CAL!$B49,SETORES!B:B,SETORES!A:A)</f>
        <v>5</v>
      </c>
    </row>
    <row r="50" ht="14.25" customHeight="1">
      <c r="A50" s="15" t="s">
        <v>29</v>
      </c>
      <c r="B50" s="15" t="s">
        <v>121</v>
      </c>
      <c r="C50" s="16">
        <v>0.1</v>
      </c>
      <c r="D50" s="17"/>
      <c r="E50" s="17"/>
      <c r="F50" s="15"/>
      <c r="G50" s="18" t="s">
        <v>130</v>
      </c>
      <c r="H50" s="15">
        <v>49.0</v>
      </c>
      <c r="I50" s="15">
        <f t="array" ref="I50">XLOOKUP(CAL!$A50,MACROZONAS!B:B,MACROZONAS!A:A)</f>
        <v>6</v>
      </c>
      <c r="J50" s="15">
        <f t="array" ref="J50">XLOOKUP(CAL!$B50,SETORES!B:B,SETORES!A:A)</f>
        <v>6</v>
      </c>
    </row>
    <row r="51" ht="14.25" customHeight="1">
      <c r="A51" s="15" t="s">
        <v>43</v>
      </c>
      <c r="B51" s="15" t="s">
        <v>41</v>
      </c>
      <c r="C51" s="16">
        <v>0.1</v>
      </c>
      <c r="D51" s="17"/>
      <c r="E51" s="17"/>
      <c r="F51" s="15"/>
      <c r="G51" s="18" t="s">
        <v>130</v>
      </c>
      <c r="H51" s="15">
        <v>50.0</v>
      </c>
      <c r="I51" s="15">
        <f t="array" ref="I51">XLOOKUP(CAL!$A51,MACROZONAS!B:B,MACROZONAS!A:A)</f>
        <v>7</v>
      </c>
      <c r="J51" s="15">
        <f t="array" ref="J51">XLOOKUP(CAL!$B51,SETORES!B:B,SETORES!A:A)</f>
        <v>3</v>
      </c>
    </row>
    <row r="52" ht="14.25" customHeight="1">
      <c r="A52" s="15" t="s">
        <v>43</v>
      </c>
      <c r="B52" s="15" t="s">
        <v>25</v>
      </c>
      <c r="C52" s="16">
        <v>0.1</v>
      </c>
      <c r="D52" s="17"/>
      <c r="E52" s="17"/>
      <c r="F52" s="15"/>
      <c r="G52" s="18" t="s">
        <v>130</v>
      </c>
      <c r="H52" s="15">
        <v>51.0</v>
      </c>
      <c r="I52" s="15">
        <f t="array" ref="I52">XLOOKUP(CAL!$A52,MACROZONAS!B:B,MACROZONAS!A:A)</f>
        <v>7</v>
      </c>
      <c r="J52" s="15">
        <f t="array" ref="J52">XLOOKUP(CAL!$B52,SETORES!B:B,SETORES!A:A)</f>
        <v>4</v>
      </c>
    </row>
    <row r="53" ht="14.25" customHeight="1">
      <c r="A53" s="15" t="s">
        <v>43</v>
      </c>
      <c r="B53" s="15" t="s">
        <v>17</v>
      </c>
      <c r="C53" s="16">
        <v>0.1</v>
      </c>
      <c r="D53" s="17"/>
      <c r="E53" s="17"/>
      <c r="F53" s="15"/>
      <c r="G53" s="18" t="s">
        <v>130</v>
      </c>
      <c r="H53" s="15">
        <v>52.0</v>
      </c>
      <c r="I53" s="15">
        <f t="array" ref="I53">XLOOKUP(CAL!$A53,MACROZONAS!B:B,MACROZONAS!A:A)</f>
        <v>7</v>
      </c>
      <c r="J53" s="15">
        <f t="array" ref="J53">XLOOKUP(CAL!$B53,SETORES!B:B,SETORES!A:A)</f>
        <v>5</v>
      </c>
    </row>
    <row r="54" ht="14.25" customHeight="1">
      <c r="A54" s="15" t="s">
        <v>43</v>
      </c>
      <c r="B54" s="15" t="s">
        <v>121</v>
      </c>
      <c r="C54" s="16">
        <v>0.1</v>
      </c>
      <c r="D54" s="17"/>
      <c r="E54" s="17"/>
      <c r="F54" s="15"/>
      <c r="G54" s="18" t="s">
        <v>130</v>
      </c>
      <c r="H54" s="15">
        <v>53.0</v>
      </c>
      <c r="I54" s="15">
        <f t="array" ref="I54">XLOOKUP(CAL!$A54,MACROZONAS!B:B,MACROZONAS!A:A)</f>
        <v>7</v>
      </c>
      <c r="J54" s="15">
        <f t="array" ref="J54">XLOOKUP(CAL!$B54,SETORES!B:B,SETORES!A:A)</f>
        <v>6</v>
      </c>
    </row>
    <row r="55" ht="14.25" customHeight="1">
      <c r="C55" s="23"/>
      <c r="D55" s="7"/>
    </row>
    <row r="56" ht="14.25" customHeight="1">
      <c r="C56" s="23"/>
      <c r="D56" s="7"/>
    </row>
    <row r="57" ht="14.25" customHeight="1">
      <c r="C57" s="23"/>
      <c r="D57" s="7"/>
    </row>
    <row r="58" ht="14.25" customHeight="1">
      <c r="C58" s="23"/>
      <c r="D58" s="7"/>
    </row>
    <row r="59" ht="14.25" customHeight="1">
      <c r="C59" s="23"/>
      <c r="D59" s="7"/>
    </row>
    <row r="60" ht="14.25" customHeight="1">
      <c r="C60" s="23"/>
      <c r="D60" s="7"/>
    </row>
    <row r="61" ht="14.25" customHeight="1">
      <c r="C61" s="23"/>
      <c r="D61" s="7"/>
    </row>
    <row r="62" ht="14.25" customHeight="1">
      <c r="C62" s="23"/>
      <c r="D62" s="7"/>
    </row>
    <row r="63" ht="14.25" customHeight="1">
      <c r="C63" s="23"/>
      <c r="D63" s="7"/>
    </row>
    <row r="64" ht="14.25" customHeight="1">
      <c r="C64" s="23"/>
      <c r="D64" s="7"/>
    </row>
    <row r="65" ht="14.25" customHeight="1">
      <c r="C65" s="23"/>
      <c r="D65" s="7"/>
    </row>
    <row r="66" ht="14.25" customHeight="1">
      <c r="C66" s="23"/>
      <c r="D66" s="7"/>
    </row>
    <row r="67" ht="14.25" customHeight="1">
      <c r="C67" s="23"/>
      <c r="D67" s="7"/>
    </row>
    <row r="68" ht="14.25" customHeight="1">
      <c r="C68" s="23"/>
      <c r="D68" s="7"/>
    </row>
    <row r="69" ht="14.25" customHeight="1">
      <c r="C69" s="23"/>
      <c r="D69" s="7"/>
    </row>
    <row r="70" ht="14.25" customHeight="1">
      <c r="C70" s="23"/>
      <c r="D70" s="7"/>
    </row>
    <row r="71" ht="14.25" customHeight="1">
      <c r="C71" s="23"/>
      <c r="D71" s="7"/>
    </row>
    <row r="72" ht="14.25" customHeight="1">
      <c r="C72" s="23"/>
      <c r="D72" s="7"/>
    </row>
    <row r="73" ht="14.25" customHeight="1">
      <c r="C73" s="23"/>
      <c r="D73" s="7"/>
    </row>
    <row r="74" ht="14.25" customHeight="1">
      <c r="C74" s="23"/>
      <c r="D74" s="7"/>
    </row>
    <row r="75" ht="14.25" customHeight="1">
      <c r="C75" s="23"/>
      <c r="D75" s="7"/>
    </row>
    <row r="76" ht="14.25" customHeight="1">
      <c r="C76" s="23"/>
      <c r="D76" s="7"/>
    </row>
    <row r="77" ht="14.25" customHeight="1">
      <c r="C77" s="23"/>
      <c r="D77" s="7"/>
    </row>
    <row r="78" ht="14.25" customHeight="1">
      <c r="C78" s="23"/>
      <c r="D78" s="7"/>
    </row>
    <row r="79" ht="14.25" customHeight="1">
      <c r="C79" s="23"/>
      <c r="D79" s="7"/>
    </row>
    <row r="80" ht="14.25" customHeight="1">
      <c r="C80" s="23"/>
      <c r="D80" s="7"/>
    </row>
    <row r="81" ht="14.25" customHeight="1">
      <c r="C81" s="23"/>
      <c r="D81" s="7"/>
    </row>
    <row r="82" ht="14.25" customHeight="1">
      <c r="C82" s="23"/>
      <c r="D82" s="7"/>
    </row>
    <row r="83" ht="14.25" customHeight="1">
      <c r="C83" s="23"/>
      <c r="D83" s="7"/>
    </row>
    <row r="84" ht="14.25" customHeight="1">
      <c r="C84" s="23"/>
      <c r="D84" s="7"/>
    </row>
    <row r="85" ht="14.25" customHeight="1">
      <c r="C85" s="23"/>
      <c r="D85" s="7"/>
    </row>
    <row r="86" ht="14.25" customHeight="1">
      <c r="C86" s="23"/>
      <c r="D86" s="7"/>
    </row>
    <row r="87" ht="14.25" customHeight="1">
      <c r="C87" s="23"/>
      <c r="D87" s="7"/>
    </row>
    <row r="88" ht="14.25" customHeight="1">
      <c r="C88" s="23"/>
      <c r="D88" s="7"/>
    </row>
    <row r="89" ht="14.25" customHeight="1">
      <c r="C89" s="23"/>
      <c r="D89" s="7"/>
    </row>
    <row r="90" ht="14.25" customHeight="1">
      <c r="C90" s="23"/>
      <c r="D90" s="7"/>
    </row>
    <row r="91" ht="14.25" customHeight="1">
      <c r="C91" s="23"/>
      <c r="D91" s="7"/>
    </row>
    <row r="92" ht="14.25" customHeight="1">
      <c r="C92" s="23"/>
      <c r="D92" s="7"/>
    </row>
    <row r="93" ht="14.25" customHeight="1">
      <c r="C93" s="23"/>
      <c r="D93" s="7"/>
    </row>
    <row r="94" ht="14.25" customHeight="1">
      <c r="C94" s="23"/>
      <c r="D94" s="7"/>
    </row>
    <row r="95" ht="14.25" customHeight="1">
      <c r="C95" s="23"/>
      <c r="D95" s="7"/>
    </row>
    <row r="96" ht="14.25" customHeight="1">
      <c r="C96" s="23"/>
      <c r="D96" s="7"/>
    </row>
    <row r="97" ht="14.25" customHeight="1">
      <c r="C97" s="23"/>
      <c r="D97" s="7"/>
    </row>
    <row r="98" ht="14.25" customHeight="1">
      <c r="C98" s="23"/>
      <c r="D98" s="7"/>
    </row>
    <row r="99" ht="14.25" customHeight="1">
      <c r="C99" s="23"/>
      <c r="D99" s="7"/>
    </row>
    <row r="100" ht="14.25" customHeight="1">
      <c r="C100" s="23"/>
      <c r="D100" s="7"/>
    </row>
    <row r="101" ht="14.25" customHeight="1">
      <c r="C101" s="23"/>
      <c r="D101" s="7"/>
    </row>
    <row r="102" ht="14.25" customHeight="1">
      <c r="C102" s="23"/>
      <c r="D102" s="7"/>
    </row>
    <row r="103" ht="14.25" customHeight="1">
      <c r="C103" s="23"/>
      <c r="D103" s="7"/>
    </row>
    <row r="104" ht="14.25" customHeight="1">
      <c r="C104" s="23"/>
      <c r="D104" s="7"/>
    </row>
    <row r="105" ht="14.25" customHeight="1">
      <c r="C105" s="23"/>
      <c r="D105" s="7"/>
    </row>
    <row r="106" ht="14.25" customHeight="1">
      <c r="C106" s="23"/>
      <c r="D106" s="7"/>
    </row>
    <row r="107" ht="14.25" customHeight="1">
      <c r="C107" s="23"/>
      <c r="D107" s="7"/>
    </row>
    <row r="108" ht="14.25" customHeight="1">
      <c r="C108" s="23"/>
      <c r="D108" s="7"/>
    </row>
    <row r="109" ht="14.25" customHeight="1">
      <c r="C109" s="23"/>
      <c r="D109" s="7"/>
    </row>
    <row r="110" ht="14.25" customHeight="1">
      <c r="C110" s="23"/>
      <c r="D110" s="7"/>
    </row>
    <row r="111" ht="14.25" customHeight="1">
      <c r="C111" s="23"/>
      <c r="D111" s="7"/>
    </row>
    <row r="112" ht="14.25" customHeight="1">
      <c r="C112" s="23"/>
      <c r="D112" s="7"/>
    </row>
    <row r="113" ht="14.25" customHeight="1">
      <c r="C113" s="23"/>
      <c r="D113" s="7"/>
    </row>
    <row r="114" ht="14.25" customHeight="1">
      <c r="C114" s="23"/>
      <c r="D114" s="7"/>
    </row>
    <row r="115" ht="14.25" customHeight="1">
      <c r="C115" s="23"/>
      <c r="D115" s="7"/>
    </row>
    <row r="116" ht="14.25" customHeight="1">
      <c r="C116" s="23"/>
      <c r="D116" s="7"/>
    </row>
    <row r="117" ht="14.25" customHeight="1">
      <c r="C117" s="23"/>
      <c r="D117" s="7"/>
    </row>
    <row r="118" ht="14.25" customHeight="1">
      <c r="C118" s="23"/>
      <c r="D118" s="7"/>
    </row>
    <row r="119" ht="14.25" customHeight="1">
      <c r="C119" s="23"/>
      <c r="D119" s="7"/>
    </row>
    <row r="120" ht="14.25" customHeight="1">
      <c r="C120" s="23"/>
      <c r="D120" s="7"/>
    </row>
    <row r="121" ht="14.25" customHeight="1">
      <c r="C121" s="23"/>
      <c r="D121" s="7"/>
    </row>
    <row r="122" ht="14.25" customHeight="1">
      <c r="C122" s="23"/>
      <c r="D122" s="7"/>
    </row>
    <row r="123" ht="14.25" customHeight="1">
      <c r="C123" s="23"/>
      <c r="D123" s="7"/>
    </row>
    <row r="124" ht="14.25" customHeight="1">
      <c r="C124" s="23"/>
      <c r="D124" s="7"/>
    </row>
    <row r="125" ht="14.25" customHeight="1">
      <c r="C125" s="23"/>
      <c r="D125" s="7"/>
    </row>
    <row r="126" ht="14.25" customHeight="1">
      <c r="C126" s="23"/>
      <c r="D126" s="7"/>
    </row>
    <row r="127" ht="14.25" customHeight="1">
      <c r="C127" s="23"/>
      <c r="D127" s="7"/>
    </row>
    <row r="128" ht="14.25" customHeight="1">
      <c r="C128" s="23"/>
      <c r="D128" s="7"/>
    </row>
    <row r="129" ht="14.25" customHeight="1">
      <c r="C129" s="23"/>
      <c r="D129" s="7"/>
    </row>
    <row r="130" ht="14.25" customHeight="1">
      <c r="C130" s="23"/>
      <c r="D130" s="7"/>
    </row>
    <row r="131" ht="14.25" customHeight="1">
      <c r="C131" s="23"/>
      <c r="D131" s="7"/>
    </row>
    <row r="132" ht="14.25" customHeight="1">
      <c r="C132" s="23"/>
      <c r="D132" s="7"/>
    </row>
    <row r="133" ht="14.25" customHeight="1">
      <c r="C133" s="23"/>
      <c r="D133" s="7"/>
    </row>
    <row r="134" ht="14.25" customHeight="1">
      <c r="C134" s="23"/>
      <c r="D134" s="7"/>
    </row>
    <row r="135" ht="14.25" customHeight="1">
      <c r="C135" s="23"/>
      <c r="D135" s="7"/>
    </row>
    <row r="136" ht="14.25" customHeight="1">
      <c r="C136" s="23"/>
      <c r="D136" s="7"/>
    </row>
    <row r="137" ht="14.25" customHeight="1">
      <c r="C137" s="23"/>
      <c r="D137" s="7"/>
    </row>
    <row r="138" ht="14.25" customHeight="1">
      <c r="C138" s="23"/>
      <c r="D138" s="7"/>
    </row>
    <row r="139" ht="14.25" customHeight="1">
      <c r="C139" s="23"/>
      <c r="D139" s="7"/>
    </row>
    <row r="140" ht="14.25" customHeight="1">
      <c r="C140" s="23"/>
      <c r="D140" s="7"/>
    </row>
    <row r="141" ht="14.25" customHeight="1">
      <c r="C141" s="23"/>
      <c r="D141" s="7"/>
    </row>
    <row r="142" ht="14.25" customHeight="1">
      <c r="C142" s="23"/>
      <c r="D142" s="7"/>
    </row>
    <row r="143" ht="14.25" customHeight="1">
      <c r="C143" s="23"/>
      <c r="D143" s="7"/>
    </row>
    <row r="144" ht="14.25" customHeight="1">
      <c r="C144" s="23"/>
      <c r="D144" s="7"/>
    </row>
    <row r="145" ht="14.25" customHeight="1">
      <c r="C145" s="23"/>
      <c r="D145" s="7"/>
    </row>
    <row r="146" ht="14.25" customHeight="1">
      <c r="C146" s="23"/>
      <c r="D146" s="7"/>
    </row>
    <row r="147" ht="14.25" customHeight="1">
      <c r="C147" s="23"/>
      <c r="D147" s="7"/>
    </row>
    <row r="148" ht="14.25" customHeight="1">
      <c r="C148" s="23"/>
      <c r="D148" s="7"/>
    </row>
    <row r="149" ht="14.25" customHeight="1">
      <c r="C149" s="23"/>
      <c r="D149" s="7"/>
    </row>
    <row r="150" ht="14.25" customHeight="1">
      <c r="C150" s="23"/>
      <c r="D150" s="7"/>
    </row>
    <row r="151" ht="14.25" customHeight="1">
      <c r="C151" s="23"/>
      <c r="D151" s="7"/>
    </row>
    <row r="152" ht="14.25" customHeight="1">
      <c r="C152" s="23"/>
      <c r="D152" s="7"/>
    </row>
    <row r="153" ht="14.25" customHeight="1">
      <c r="C153" s="23"/>
      <c r="D153" s="7"/>
    </row>
    <row r="154" ht="14.25" customHeight="1">
      <c r="C154" s="23"/>
      <c r="D154" s="7"/>
    </row>
    <row r="155" ht="14.25" customHeight="1">
      <c r="C155" s="23"/>
      <c r="D155" s="7"/>
    </row>
    <row r="156" ht="14.25" customHeight="1">
      <c r="C156" s="23"/>
      <c r="D156" s="7"/>
    </row>
    <row r="157" ht="14.25" customHeight="1">
      <c r="C157" s="23"/>
      <c r="D157" s="7"/>
    </row>
    <row r="158" ht="14.25" customHeight="1">
      <c r="C158" s="23"/>
      <c r="D158" s="7"/>
    </row>
    <row r="159" ht="14.25" customHeight="1">
      <c r="C159" s="23"/>
      <c r="D159" s="7"/>
    </row>
    <row r="160" ht="14.25" customHeight="1">
      <c r="C160" s="23"/>
      <c r="D160" s="7"/>
    </row>
    <row r="161" ht="14.25" customHeight="1">
      <c r="C161" s="23"/>
      <c r="D161" s="7"/>
    </row>
    <row r="162" ht="14.25" customHeight="1">
      <c r="C162" s="23"/>
      <c r="D162" s="7"/>
    </row>
    <row r="163" ht="14.25" customHeight="1">
      <c r="C163" s="23"/>
      <c r="D163" s="7"/>
    </row>
    <row r="164" ht="14.25" customHeight="1">
      <c r="C164" s="23"/>
      <c r="D164" s="7"/>
    </row>
    <row r="165" ht="14.25" customHeight="1">
      <c r="C165" s="23"/>
      <c r="D165" s="7"/>
    </row>
    <row r="166" ht="14.25" customHeight="1">
      <c r="C166" s="23"/>
      <c r="D166" s="7"/>
    </row>
    <row r="167" ht="14.25" customHeight="1">
      <c r="C167" s="23"/>
      <c r="D167" s="7"/>
    </row>
    <row r="168" ht="14.25" customHeight="1">
      <c r="C168" s="23"/>
      <c r="D168" s="7"/>
    </row>
    <row r="169" ht="14.25" customHeight="1">
      <c r="C169" s="23"/>
      <c r="D169" s="7"/>
    </row>
    <row r="170" ht="14.25" customHeight="1">
      <c r="C170" s="23"/>
      <c r="D170" s="7"/>
    </row>
    <row r="171" ht="14.25" customHeight="1">
      <c r="C171" s="23"/>
      <c r="D171" s="7"/>
    </row>
    <row r="172" ht="14.25" customHeight="1">
      <c r="C172" s="23"/>
      <c r="D172" s="7"/>
    </row>
    <row r="173" ht="14.25" customHeight="1">
      <c r="C173" s="23"/>
      <c r="D173" s="7"/>
    </row>
    <row r="174" ht="14.25" customHeight="1">
      <c r="C174" s="23"/>
      <c r="D174" s="7"/>
    </row>
    <row r="175" ht="14.25" customHeight="1">
      <c r="C175" s="23"/>
      <c r="D175" s="7"/>
    </row>
    <row r="176" ht="14.25" customHeight="1">
      <c r="C176" s="23"/>
      <c r="D176" s="7"/>
    </row>
    <row r="177" ht="14.25" customHeight="1">
      <c r="C177" s="23"/>
      <c r="D177" s="7"/>
    </row>
    <row r="178" ht="14.25" customHeight="1">
      <c r="C178" s="23"/>
      <c r="D178" s="7"/>
    </row>
    <row r="179" ht="14.25" customHeight="1">
      <c r="C179" s="23"/>
      <c r="D179" s="7"/>
    </row>
    <row r="180" ht="14.25" customHeight="1">
      <c r="C180" s="23"/>
      <c r="D180" s="7"/>
    </row>
    <row r="181" ht="14.25" customHeight="1">
      <c r="C181" s="23"/>
      <c r="D181" s="7"/>
    </row>
    <row r="182" ht="14.25" customHeight="1">
      <c r="C182" s="23"/>
      <c r="D182" s="7"/>
    </row>
    <row r="183" ht="14.25" customHeight="1">
      <c r="C183" s="23"/>
      <c r="D183" s="7"/>
    </row>
    <row r="184" ht="14.25" customHeight="1">
      <c r="C184" s="23"/>
      <c r="D184" s="7"/>
    </row>
    <row r="185" ht="14.25" customHeight="1">
      <c r="C185" s="23"/>
      <c r="D185" s="7"/>
    </row>
    <row r="186" ht="14.25" customHeight="1">
      <c r="C186" s="23"/>
      <c r="D186" s="7"/>
    </row>
    <row r="187" ht="14.25" customHeight="1">
      <c r="C187" s="23"/>
      <c r="D187" s="7"/>
    </row>
    <row r="188" ht="14.25" customHeight="1">
      <c r="C188" s="23"/>
      <c r="D188" s="7"/>
    </row>
    <row r="189" ht="14.25" customHeight="1">
      <c r="C189" s="23"/>
      <c r="D189" s="7"/>
    </row>
    <row r="190" ht="14.25" customHeight="1">
      <c r="C190" s="23"/>
      <c r="D190" s="7"/>
    </row>
    <row r="191" ht="14.25" customHeight="1">
      <c r="C191" s="23"/>
      <c r="D191" s="7"/>
    </row>
    <row r="192" ht="14.25" customHeight="1">
      <c r="C192" s="23"/>
      <c r="D192" s="7"/>
    </row>
    <row r="193" ht="14.25" customHeight="1">
      <c r="C193" s="23"/>
      <c r="D193" s="7"/>
    </row>
    <row r="194" ht="14.25" customHeight="1">
      <c r="C194" s="23"/>
      <c r="D194" s="7"/>
    </row>
    <row r="195" ht="14.25" customHeight="1">
      <c r="C195" s="23"/>
      <c r="D195" s="7"/>
    </row>
    <row r="196" ht="14.25" customHeight="1">
      <c r="C196" s="23"/>
      <c r="D196" s="7"/>
    </row>
    <row r="197" ht="14.25" customHeight="1">
      <c r="C197" s="23"/>
      <c r="D197" s="7"/>
    </row>
    <row r="198" ht="14.25" customHeight="1">
      <c r="C198" s="23"/>
      <c r="D198" s="7"/>
    </row>
    <row r="199" ht="14.25" customHeight="1">
      <c r="C199" s="23"/>
      <c r="D199" s="7"/>
    </row>
    <row r="200" ht="14.25" customHeight="1">
      <c r="C200" s="23"/>
      <c r="D200" s="7"/>
    </row>
    <row r="201" ht="14.25" customHeight="1">
      <c r="C201" s="23"/>
      <c r="D201" s="7"/>
    </row>
    <row r="202" ht="14.25" customHeight="1">
      <c r="C202" s="23"/>
      <c r="D202" s="7"/>
    </row>
    <row r="203" ht="14.25" customHeight="1">
      <c r="C203" s="23"/>
      <c r="D203" s="7"/>
    </row>
    <row r="204" ht="14.25" customHeight="1">
      <c r="C204" s="23"/>
      <c r="D204" s="7"/>
    </row>
    <row r="205" ht="14.25" customHeight="1">
      <c r="C205" s="23"/>
      <c r="D205" s="7"/>
    </row>
    <row r="206" ht="14.25" customHeight="1">
      <c r="C206" s="23"/>
      <c r="D206" s="7"/>
    </row>
    <row r="207" ht="14.25" customHeight="1">
      <c r="C207" s="23"/>
      <c r="D207" s="7"/>
    </row>
    <row r="208" ht="14.25" customHeight="1">
      <c r="C208" s="23"/>
      <c r="D208" s="7"/>
    </row>
    <row r="209" ht="14.25" customHeight="1">
      <c r="C209" s="23"/>
      <c r="D209" s="7"/>
    </row>
    <row r="210" ht="14.25" customHeight="1">
      <c r="C210" s="23"/>
      <c r="D210" s="7"/>
    </row>
    <row r="211" ht="14.25" customHeight="1">
      <c r="C211" s="23"/>
      <c r="D211" s="7"/>
    </row>
    <row r="212" ht="14.25" customHeight="1">
      <c r="C212" s="23"/>
      <c r="D212" s="7"/>
    </row>
    <row r="213" ht="14.25" customHeight="1">
      <c r="C213" s="23"/>
      <c r="D213" s="7"/>
    </row>
    <row r="214" ht="14.25" customHeight="1">
      <c r="C214" s="23"/>
      <c r="D214" s="7"/>
    </row>
    <row r="215" ht="14.25" customHeight="1">
      <c r="C215" s="23"/>
      <c r="D215" s="7"/>
    </row>
    <row r="216" ht="14.25" customHeight="1">
      <c r="C216" s="23"/>
      <c r="D216" s="7"/>
    </row>
    <row r="217" ht="14.25" customHeight="1">
      <c r="C217" s="23"/>
      <c r="D217" s="7"/>
    </row>
    <row r="218" ht="14.25" customHeight="1">
      <c r="C218" s="23"/>
      <c r="D218" s="7"/>
    </row>
    <row r="219" ht="14.25" customHeight="1">
      <c r="C219" s="23"/>
      <c r="D219" s="7"/>
    </row>
    <row r="220" ht="14.25" customHeight="1">
      <c r="C220" s="23"/>
      <c r="D220" s="7"/>
    </row>
    <row r="221" ht="14.25" customHeight="1">
      <c r="C221" s="23"/>
      <c r="D221" s="7"/>
    </row>
    <row r="222" ht="14.25" customHeight="1">
      <c r="C222" s="23"/>
      <c r="D222" s="7"/>
    </row>
    <row r="223" ht="14.25" customHeight="1">
      <c r="C223" s="23"/>
      <c r="D223" s="7"/>
    </row>
    <row r="224" ht="14.25" customHeight="1">
      <c r="C224" s="23"/>
      <c r="D224" s="7"/>
    </row>
    <row r="225" ht="14.25" customHeight="1">
      <c r="C225" s="23"/>
      <c r="D225" s="7"/>
    </row>
    <row r="226" ht="14.25" customHeight="1">
      <c r="C226" s="23"/>
      <c r="D226" s="7"/>
    </row>
    <row r="227" ht="14.25" customHeight="1">
      <c r="C227" s="23"/>
      <c r="D227" s="7"/>
    </row>
    <row r="228" ht="14.25" customHeight="1">
      <c r="C228" s="23"/>
      <c r="D228" s="7"/>
    </row>
    <row r="229" ht="14.25" customHeight="1">
      <c r="C229" s="23"/>
      <c r="D229" s="7"/>
    </row>
    <row r="230" ht="14.25" customHeight="1">
      <c r="C230" s="23"/>
      <c r="D230" s="7"/>
    </row>
    <row r="231" ht="14.25" customHeight="1">
      <c r="C231" s="23"/>
      <c r="D231" s="7"/>
    </row>
    <row r="232" ht="14.25" customHeight="1">
      <c r="C232" s="23"/>
      <c r="D232" s="7"/>
    </row>
    <row r="233" ht="14.25" customHeight="1">
      <c r="C233" s="23"/>
      <c r="D233" s="7"/>
    </row>
    <row r="234" ht="14.25" customHeight="1">
      <c r="C234" s="23"/>
      <c r="D234" s="7"/>
    </row>
    <row r="235" ht="14.25" customHeight="1">
      <c r="C235" s="23"/>
      <c r="D235" s="7"/>
    </row>
    <row r="236" ht="14.25" customHeight="1">
      <c r="C236" s="23"/>
      <c r="D236" s="7"/>
    </row>
    <row r="237" ht="14.25" customHeight="1">
      <c r="C237" s="23"/>
      <c r="D237" s="7"/>
    </row>
    <row r="238" ht="14.25" customHeight="1">
      <c r="C238" s="23"/>
      <c r="D238" s="7"/>
    </row>
    <row r="239" ht="14.25" customHeight="1">
      <c r="C239" s="23"/>
      <c r="D239" s="7"/>
    </row>
    <row r="240" ht="14.25" customHeight="1">
      <c r="C240" s="23"/>
      <c r="D240" s="7"/>
    </row>
    <row r="241" ht="14.25" customHeight="1">
      <c r="C241" s="23"/>
      <c r="D241" s="7"/>
    </row>
    <row r="242" ht="14.25" customHeight="1">
      <c r="C242" s="23"/>
      <c r="D242" s="7"/>
    </row>
    <row r="243" ht="14.25" customHeight="1">
      <c r="C243" s="23"/>
      <c r="D243" s="7"/>
    </row>
    <row r="244" ht="14.25" customHeight="1">
      <c r="C244" s="23"/>
      <c r="D244" s="7"/>
    </row>
    <row r="245" ht="14.25" customHeight="1">
      <c r="C245" s="23"/>
      <c r="D245" s="7"/>
    </row>
    <row r="246" ht="14.25" customHeight="1">
      <c r="C246" s="23"/>
      <c r="D246" s="7"/>
    </row>
    <row r="247" ht="14.25" customHeight="1">
      <c r="C247" s="23"/>
      <c r="D247" s="7"/>
    </row>
    <row r="248" ht="14.25" customHeight="1">
      <c r="C248" s="23"/>
      <c r="D248" s="7"/>
    </row>
    <row r="249" ht="14.25" customHeight="1">
      <c r="C249" s="23"/>
      <c r="D249" s="7"/>
    </row>
    <row r="250" ht="14.25" customHeight="1">
      <c r="C250" s="23"/>
      <c r="D250" s="7"/>
    </row>
    <row r="251" ht="14.25" customHeight="1">
      <c r="C251" s="23"/>
      <c r="D251" s="7"/>
    </row>
    <row r="252" ht="14.25" customHeight="1">
      <c r="C252" s="23"/>
      <c r="D252" s="7"/>
    </row>
    <row r="253" ht="14.25" customHeight="1">
      <c r="C253" s="23"/>
      <c r="D253" s="7"/>
    </row>
    <row r="254" ht="14.25" customHeight="1">
      <c r="C254" s="23"/>
      <c r="D254" s="7"/>
    </row>
    <row r="255" ht="14.25" customHeight="1">
      <c r="C255" s="23"/>
      <c r="D255" s="7"/>
    </row>
    <row r="256" ht="14.25" customHeight="1">
      <c r="C256" s="23"/>
      <c r="D256" s="7"/>
    </row>
    <row r="257" ht="14.25" customHeight="1">
      <c r="C257" s="23"/>
      <c r="D257" s="7"/>
    </row>
    <row r="258" ht="14.25" customHeight="1">
      <c r="C258" s="23"/>
      <c r="D258" s="7"/>
    </row>
    <row r="259" ht="14.25" customHeight="1">
      <c r="C259" s="23"/>
      <c r="D259" s="7"/>
    </row>
    <row r="260" ht="14.25" customHeight="1">
      <c r="C260" s="23"/>
      <c r="D260" s="7"/>
    </row>
    <row r="261" ht="14.25" customHeight="1">
      <c r="C261" s="23"/>
      <c r="D261" s="7"/>
    </row>
    <row r="262" ht="14.25" customHeight="1">
      <c r="C262" s="23"/>
      <c r="D262" s="7"/>
    </row>
    <row r="263" ht="14.25" customHeight="1">
      <c r="C263" s="23"/>
      <c r="D263" s="7"/>
    </row>
    <row r="264" ht="14.25" customHeight="1">
      <c r="C264" s="23"/>
      <c r="D264" s="7"/>
    </row>
    <row r="265" ht="14.25" customHeight="1">
      <c r="C265" s="23"/>
      <c r="D265" s="7"/>
    </row>
    <row r="266" ht="14.25" customHeight="1">
      <c r="C266" s="23"/>
      <c r="D266" s="7"/>
    </row>
    <row r="267" ht="14.25" customHeight="1">
      <c r="C267" s="23"/>
      <c r="D267" s="7"/>
    </row>
    <row r="268" ht="14.25" customHeight="1">
      <c r="C268" s="23"/>
      <c r="D268" s="7"/>
    </row>
    <row r="269" ht="14.25" customHeight="1">
      <c r="C269" s="23"/>
      <c r="D269" s="7"/>
    </row>
    <row r="270" ht="14.25" customHeight="1">
      <c r="C270" s="23"/>
      <c r="D270" s="7"/>
    </row>
    <row r="271" ht="14.25" customHeight="1">
      <c r="C271" s="23"/>
      <c r="D271" s="7"/>
    </row>
    <row r="272" ht="14.25" customHeight="1">
      <c r="C272" s="23"/>
      <c r="D272" s="7"/>
    </row>
    <row r="273" ht="14.25" customHeight="1">
      <c r="C273" s="23"/>
      <c r="D273" s="7"/>
    </row>
    <row r="274" ht="14.25" customHeight="1">
      <c r="C274" s="23"/>
      <c r="D274" s="7"/>
    </row>
    <row r="275" ht="14.25" customHeight="1">
      <c r="C275" s="23"/>
      <c r="D275" s="7"/>
    </row>
    <row r="276" ht="14.25" customHeight="1">
      <c r="C276" s="23"/>
      <c r="D276" s="7"/>
    </row>
    <row r="277" ht="14.25" customHeight="1">
      <c r="C277" s="23"/>
      <c r="D277" s="7"/>
    </row>
    <row r="278" ht="14.25" customHeight="1">
      <c r="C278" s="23"/>
      <c r="D278" s="7"/>
    </row>
    <row r="279" ht="14.25" customHeight="1">
      <c r="C279" s="23"/>
      <c r="D279" s="7"/>
    </row>
    <row r="280" ht="14.25" customHeight="1">
      <c r="C280" s="23"/>
      <c r="D280" s="7"/>
    </row>
    <row r="281" ht="14.25" customHeight="1">
      <c r="C281" s="23"/>
      <c r="D281" s="7"/>
    </row>
    <row r="282" ht="14.25" customHeight="1">
      <c r="C282" s="23"/>
      <c r="D282" s="7"/>
    </row>
    <row r="283" ht="14.25" customHeight="1">
      <c r="C283" s="23"/>
      <c r="D283" s="7"/>
    </row>
    <row r="284" ht="14.25" customHeight="1">
      <c r="C284" s="23"/>
      <c r="D284" s="7"/>
    </row>
    <row r="285" ht="14.25" customHeight="1">
      <c r="C285" s="23"/>
      <c r="D285" s="7"/>
    </row>
    <row r="286" ht="14.25" customHeight="1">
      <c r="C286" s="23"/>
      <c r="D286" s="7"/>
    </row>
    <row r="287" ht="14.25" customHeight="1">
      <c r="C287" s="23"/>
      <c r="D287" s="7"/>
    </row>
    <row r="288" ht="14.25" customHeight="1">
      <c r="C288" s="23"/>
      <c r="D288" s="7"/>
    </row>
    <row r="289" ht="14.25" customHeight="1">
      <c r="C289" s="23"/>
      <c r="D289" s="7"/>
    </row>
    <row r="290" ht="14.25" customHeight="1">
      <c r="C290" s="23"/>
      <c r="D290" s="7"/>
    </row>
    <row r="291" ht="14.25" customHeight="1">
      <c r="C291" s="23"/>
      <c r="D291" s="7"/>
    </row>
    <row r="292" ht="14.25" customHeight="1">
      <c r="C292" s="23"/>
      <c r="D292" s="7"/>
    </row>
    <row r="293" ht="14.25" customHeight="1">
      <c r="C293" s="23"/>
      <c r="D293" s="7"/>
    </row>
    <row r="294" ht="14.25" customHeight="1">
      <c r="C294" s="23"/>
      <c r="D294" s="7"/>
    </row>
    <row r="295" ht="14.25" customHeight="1">
      <c r="C295" s="23"/>
      <c r="D295" s="7"/>
    </row>
    <row r="296" ht="14.25" customHeight="1">
      <c r="C296" s="23"/>
      <c r="D296" s="7"/>
    </row>
    <row r="297" ht="14.25" customHeight="1">
      <c r="C297" s="23"/>
      <c r="D297" s="7"/>
    </row>
    <row r="298" ht="14.25" customHeight="1">
      <c r="C298" s="23"/>
      <c r="D298" s="7"/>
    </row>
    <row r="299" ht="14.25" customHeight="1">
      <c r="C299" s="23"/>
      <c r="D299" s="7"/>
    </row>
    <row r="300" ht="14.25" customHeight="1">
      <c r="C300" s="23"/>
      <c r="D300" s="7"/>
    </row>
    <row r="301" ht="14.25" customHeight="1">
      <c r="C301" s="23"/>
      <c r="D301" s="7"/>
    </row>
    <row r="302" ht="14.25" customHeight="1">
      <c r="C302" s="23"/>
      <c r="D302" s="7"/>
    </row>
    <row r="303" ht="14.25" customHeight="1">
      <c r="C303" s="23"/>
      <c r="D303" s="7"/>
    </row>
    <row r="304" ht="14.25" customHeight="1">
      <c r="C304" s="23"/>
      <c r="D304" s="7"/>
    </row>
    <row r="305" ht="14.25" customHeight="1">
      <c r="C305" s="23"/>
      <c r="D305" s="7"/>
    </row>
    <row r="306" ht="14.25" customHeight="1">
      <c r="C306" s="23"/>
      <c r="D306" s="7"/>
    </row>
    <row r="307" ht="14.25" customHeight="1">
      <c r="C307" s="23"/>
      <c r="D307" s="7"/>
    </row>
    <row r="308" ht="14.25" customHeight="1">
      <c r="C308" s="23"/>
      <c r="D308" s="7"/>
    </row>
    <row r="309" ht="14.25" customHeight="1">
      <c r="C309" s="23"/>
      <c r="D309" s="7"/>
    </row>
    <row r="310" ht="14.25" customHeight="1">
      <c r="C310" s="23"/>
      <c r="D310" s="7"/>
    </row>
    <row r="311" ht="14.25" customHeight="1">
      <c r="C311" s="23"/>
      <c r="D311" s="7"/>
    </row>
    <row r="312" ht="14.25" customHeight="1">
      <c r="C312" s="23"/>
      <c r="D312" s="7"/>
    </row>
    <row r="313" ht="14.25" customHeight="1">
      <c r="C313" s="23"/>
      <c r="D313" s="7"/>
    </row>
    <row r="314" ht="14.25" customHeight="1">
      <c r="C314" s="23"/>
      <c r="D314" s="7"/>
    </row>
    <row r="315" ht="14.25" customHeight="1">
      <c r="C315" s="23"/>
      <c r="D315" s="7"/>
    </row>
    <row r="316" ht="14.25" customHeight="1">
      <c r="C316" s="23"/>
      <c r="D316" s="7"/>
    </row>
    <row r="317" ht="14.25" customHeight="1">
      <c r="C317" s="23"/>
      <c r="D317" s="7"/>
    </row>
    <row r="318" ht="14.25" customHeight="1">
      <c r="C318" s="23"/>
      <c r="D318" s="7"/>
    </row>
    <row r="319" ht="14.25" customHeight="1">
      <c r="C319" s="23"/>
      <c r="D319" s="7"/>
    </row>
    <row r="320" ht="14.25" customHeight="1">
      <c r="C320" s="23"/>
      <c r="D320" s="7"/>
    </row>
    <row r="321" ht="14.25" customHeight="1">
      <c r="C321" s="23"/>
      <c r="D321" s="7"/>
    </row>
    <row r="322" ht="14.25" customHeight="1">
      <c r="C322" s="23"/>
      <c r="D322" s="7"/>
    </row>
    <row r="323" ht="14.25" customHeight="1">
      <c r="C323" s="23"/>
      <c r="D323" s="7"/>
    </row>
    <row r="324" ht="14.25" customHeight="1">
      <c r="C324" s="23"/>
      <c r="D324" s="7"/>
    </row>
    <row r="325" ht="14.25" customHeight="1">
      <c r="C325" s="23"/>
      <c r="D325" s="7"/>
    </row>
    <row r="326" ht="14.25" customHeight="1">
      <c r="C326" s="23"/>
      <c r="D326" s="7"/>
    </row>
    <row r="327" ht="14.25" customHeight="1">
      <c r="C327" s="23"/>
      <c r="D327" s="7"/>
    </row>
    <row r="328" ht="14.25" customHeight="1">
      <c r="C328" s="23"/>
      <c r="D328" s="7"/>
    </row>
    <row r="329" ht="14.25" customHeight="1">
      <c r="C329" s="23"/>
      <c r="D329" s="7"/>
    </row>
    <row r="330" ht="14.25" customHeight="1">
      <c r="C330" s="23"/>
      <c r="D330" s="7"/>
    </row>
    <row r="331" ht="14.25" customHeight="1">
      <c r="C331" s="23"/>
      <c r="D331" s="7"/>
    </row>
    <row r="332" ht="14.25" customHeight="1">
      <c r="C332" s="23"/>
      <c r="D332" s="7"/>
    </row>
    <row r="333" ht="14.25" customHeight="1">
      <c r="C333" s="23"/>
      <c r="D333" s="7"/>
    </row>
    <row r="334" ht="14.25" customHeight="1">
      <c r="C334" s="23"/>
      <c r="D334" s="7"/>
    </row>
    <row r="335" ht="14.25" customHeight="1">
      <c r="C335" s="23"/>
      <c r="D335" s="7"/>
    </row>
    <row r="336" ht="14.25" customHeight="1">
      <c r="C336" s="23"/>
      <c r="D336" s="7"/>
    </row>
    <row r="337" ht="14.25" customHeight="1">
      <c r="C337" s="23"/>
      <c r="D337" s="7"/>
    </row>
    <row r="338" ht="14.25" customHeight="1">
      <c r="C338" s="23"/>
      <c r="D338" s="7"/>
    </row>
    <row r="339" ht="14.25" customHeight="1">
      <c r="C339" s="23"/>
      <c r="D339" s="7"/>
    </row>
    <row r="340" ht="14.25" customHeight="1">
      <c r="C340" s="23"/>
      <c r="D340" s="7"/>
    </row>
    <row r="341" ht="14.25" customHeight="1">
      <c r="C341" s="23"/>
      <c r="D341" s="7"/>
    </row>
    <row r="342" ht="14.25" customHeight="1">
      <c r="C342" s="23"/>
      <c r="D342" s="7"/>
    </row>
    <row r="343" ht="14.25" customHeight="1">
      <c r="C343" s="23"/>
      <c r="D343" s="7"/>
    </row>
    <row r="344" ht="14.25" customHeight="1">
      <c r="C344" s="23"/>
      <c r="D344" s="7"/>
    </row>
    <row r="345" ht="14.25" customHeight="1">
      <c r="C345" s="23"/>
      <c r="D345" s="7"/>
    </row>
    <row r="346" ht="14.25" customHeight="1">
      <c r="C346" s="23"/>
      <c r="D346" s="7"/>
    </row>
    <row r="347" ht="14.25" customHeight="1">
      <c r="C347" s="23"/>
      <c r="D347" s="7"/>
    </row>
    <row r="348" ht="14.25" customHeight="1">
      <c r="C348" s="23"/>
      <c r="D348" s="7"/>
    </row>
    <row r="349" ht="14.25" customHeight="1">
      <c r="C349" s="23"/>
      <c r="D349" s="7"/>
    </row>
    <row r="350" ht="14.25" customHeight="1">
      <c r="C350" s="23"/>
      <c r="D350" s="7"/>
    </row>
    <row r="351" ht="14.25" customHeight="1">
      <c r="C351" s="23"/>
      <c r="D351" s="7"/>
    </row>
    <row r="352" ht="14.25" customHeight="1">
      <c r="C352" s="23"/>
      <c r="D352" s="7"/>
    </row>
    <row r="353" ht="14.25" customHeight="1">
      <c r="C353" s="23"/>
      <c r="D353" s="7"/>
    </row>
    <row r="354" ht="14.25" customHeight="1">
      <c r="C354" s="23"/>
      <c r="D354" s="7"/>
    </row>
    <row r="355" ht="14.25" customHeight="1">
      <c r="C355" s="23"/>
      <c r="D355" s="7"/>
    </row>
    <row r="356" ht="14.25" customHeight="1">
      <c r="C356" s="23"/>
      <c r="D356" s="7"/>
    </row>
    <row r="357" ht="14.25" customHeight="1">
      <c r="C357" s="23"/>
      <c r="D357" s="7"/>
    </row>
    <row r="358" ht="14.25" customHeight="1">
      <c r="C358" s="23"/>
      <c r="D358" s="7"/>
    </row>
    <row r="359" ht="14.25" customHeight="1">
      <c r="C359" s="23"/>
      <c r="D359" s="7"/>
    </row>
    <row r="360" ht="14.25" customHeight="1">
      <c r="C360" s="23"/>
      <c r="D360" s="7"/>
    </row>
    <row r="361" ht="14.25" customHeight="1">
      <c r="C361" s="23"/>
      <c r="D361" s="7"/>
    </row>
    <row r="362" ht="14.25" customHeight="1">
      <c r="C362" s="23"/>
      <c r="D362" s="7"/>
    </row>
    <row r="363" ht="14.25" customHeight="1">
      <c r="C363" s="23"/>
      <c r="D363" s="7"/>
    </row>
    <row r="364" ht="14.25" customHeight="1">
      <c r="C364" s="23"/>
      <c r="D364" s="7"/>
    </row>
    <row r="365" ht="14.25" customHeight="1">
      <c r="C365" s="23"/>
      <c r="D365" s="7"/>
    </row>
    <row r="366" ht="14.25" customHeight="1">
      <c r="C366" s="23"/>
      <c r="D366" s="7"/>
    </row>
    <row r="367" ht="14.25" customHeight="1">
      <c r="C367" s="23"/>
      <c r="D367" s="7"/>
    </row>
    <row r="368" ht="14.25" customHeight="1">
      <c r="C368" s="23"/>
      <c r="D368" s="7"/>
    </row>
    <row r="369" ht="14.25" customHeight="1">
      <c r="C369" s="23"/>
      <c r="D369" s="7"/>
    </row>
    <row r="370" ht="14.25" customHeight="1">
      <c r="C370" s="23"/>
      <c r="D370" s="7"/>
    </row>
    <row r="371" ht="14.25" customHeight="1">
      <c r="C371" s="23"/>
      <c r="D371" s="7"/>
    </row>
    <row r="372" ht="14.25" customHeight="1">
      <c r="C372" s="23"/>
      <c r="D372" s="7"/>
    </row>
    <row r="373" ht="14.25" customHeight="1">
      <c r="C373" s="23"/>
      <c r="D373" s="7"/>
    </row>
    <row r="374" ht="14.25" customHeight="1">
      <c r="C374" s="23"/>
      <c r="D374" s="7"/>
    </row>
    <row r="375" ht="14.25" customHeight="1">
      <c r="C375" s="23"/>
      <c r="D375" s="7"/>
    </row>
    <row r="376" ht="14.25" customHeight="1">
      <c r="C376" s="23"/>
      <c r="D376" s="7"/>
    </row>
    <row r="377" ht="14.25" customHeight="1">
      <c r="C377" s="23"/>
      <c r="D377" s="7"/>
    </row>
    <row r="378" ht="14.25" customHeight="1">
      <c r="C378" s="23"/>
      <c r="D378" s="7"/>
    </row>
    <row r="379" ht="14.25" customHeight="1">
      <c r="C379" s="23"/>
      <c r="D379" s="7"/>
    </row>
    <row r="380" ht="14.25" customHeight="1">
      <c r="C380" s="23"/>
      <c r="D380" s="7"/>
    </row>
    <row r="381" ht="14.25" customHeight="1">
      <c r="C381" s="23"/>
      <c r="D381" s="7"/>
    </row>
    <row r="382" ht="14.25" customHeight="1">
      <c r="C382" s="23"/>
      <c r="D382" s="7"/>
    </row>
    <row r="383" ht="14.25" customHeight="1">
      <c r="C383" s="23"/>
      <c r="D383" s="7"/>
    </row>
    <row r="384" ht="14.25" customHeight="1">
      <c r="C384" s="23"/>
      <c r="D384" s="7"/>
    </row>
    <row r="385" ht="14.25" customHeight="1">
      <c r="C385" s="23"/>
      <c r="D385" s="7"/>
    </row>
    <row r="386" ht="14.25" customHeight="1">
      <c r="C386" s="23"/>
      <c r="D386" s="7"/>
    </row>
    <row r="387" ht="14.25" customHeight="1">
      <c r="C387" s="23"/>
      <c r="D387" s="7"/>
    </row>
    <row r="388" ht="14.25" customHeight="1">
      <c r="C388" s="23"/>
      <c r="D388" s="7"/>
    </row>
    <row r="389" ht="14.25" customHeight="1">
      <c r="C389" s="23"/>
      <c r="D389" s="7"/>
    </row>
    <row r="390" ht="14.25" customHeight="1">
      <c r="C390" s="23"/>
      <c r="D390" s="7"/>
    </row>
    <row r="391" ht="14.25" customHeight="1">
      <c r="C391" s="23"/>
      <c r="D391" s="7"/>
    </row>
    <row r="392" ht="14.25" customHeight="1">
      <c r="C392" s="23"/>
      <c r="D392" s="7"/>
    </row>
    <row r="393" ht="14.25" customHeight="1">
      <c r="C393" s="23"/>
      <c r="D393" s="7"/>
    </row>
    <row r="394" ht="14.25" customHeight="1">
      <c r="C394" s="23"/>
      <c r="D394" s="7"/>
    </row>
    <row r="395" ht="14.25" customHeight="1">
      <c r="C395" s="23"/>
      <c r="D395" s="7"/>
    </row>
    <row r="396" ht="14.25" customHeight="1">
      <c r="C396" s="23"/>
      <c r="D396" s="7"/>
    </row>
    <row r="397" ht="14.25" customHeight="1">
      <c r="C397" s="23"/>
      <c r="D397" s="7"/>
    </row>
    <row r="398" ht="14.25" customHeight="1">
      <c r="C398" s="23"/>
      <c r="D398" s="7"/>
    </row>
    <row r="399" ht="14.25" customHeight="1">
      <c r="C399" s="23"/>
      <c r="D399" s="7"/>
    </row>
    <row r="400" ht="14.25" customHeight="1">
      <c r="C400" s="23"/>
      <c r="D400" s="7"/>
    </row>
    <row r="401" ht="14.25" customHeight="1">
      <c r="C401" s="23"/>
      <c r="D401" s="7"/>
    </row>
    <row r="402" ht="14.25" customHeight="1">
      <c r="C402" s="23"/>
      <c r="D402" s="7"/>
    </row>
    <row r="403" ht="14.25" customHeight="1">
      <c r="C403" s="23"/>
      <c r="D403" s="7"/>
    </row>
    <row r="404" ht="14.25" customHeight="1">
      <c r="C404" s="23"/>
      <c r="D404" s="7"/>
    </row>
    <row r="405" ht="14.25" customHeight="1">
      <c r="C405" s="23"/>
      <c r="D405" s="7"/>
    </row>
    <row r="406" ht="14.25" customHeight="1">
      <c r="C406" s="23"/>
      <c r="D406" s="7"/>
    </row>
    <row r="407" ht="14.25" customHeight="1">
      <c r="C407" s="23"/>
      <c r="D407" s="7"/>
    </row>
    <row r="408" ht="14.25" customHeight="1">
      <c r="C408" s="23"/>
      <c r="D408" s="7"/>
    </row>
    <row r="409" ht="14.25" customHeight="1">
      <c r="C409" s="23"/>
      <c r="D409" s="7"/>
    </row>
    <row r="410" ht="14.25" customHeight="1">
      <c r="C410" s="23"/>
      <c r="D410" s="7"/>
    </row>
    <row r="411" ht="14.25" customHeight="1">
      <c r="C411" s="23"/>
      <c r="D411" s="7"/>
    </row>
    <row r="412" ht="14.25" customHeight="1">
      <c r="C412" s="23"/>
      <c r="D412" s="7"/>
    </row>
    <row r="413" ht="14.25" customHeight="1">
      <c r="C413" s="23"/>
      <c r="D413" s="7"/>
    </row>
    <row r="414" ht="14.25" customHeight="1">
      <c r="C414" s="23"/>
      <c r="D414" s="7"/>
    </row>
    <row r="415" ht="14.25" customHeight="1">
      <c r="C415" s="23"/>
      <c r="D415" s="7"/>
    </row>
    <row r="416" ht="14.25" customHeight="1">
      <c r="C416" s="23"/>
      <c r="D416" s="7"/>
    </row>
    <row r="417" ht="14.25" customHeight="1">
      <c r="C417" s="23"/>
      <c r="D417" s="7"/>
    </row>
    <row r="418" ht="14.25" customHeight="1">
      <c r="C418" s="23"/>
      <c r="D418" s="7"/>
    </row>
    <row r="419" ht="14.25" customHeight="1">
      <c r="C419" s="23"/>
      <c r="D419" s="7"/>
    </row>
    <row r="420" ht="14.25" customHeight="1">
      <c r="C420" s="23"/>
      <c r="D420" s="7"/>
    </row>
    <row r="421" ht="14.25" customHeight="1">
      <c r="C421" s="23"/>
      <c r="D421" s="7"/>
    </row>
    <row r="422" ht="14.25" customHeight="1">
      <c r="C422" s="23"/>
      <c r="D422" s="7"/>
    </row>
    <row r="423" ht="14.25" customHeight="1">
      <c r="C423" s="23"/>
      <c r="D423" s="7"/>
    </row>
    <row r="424" ht="14.25" customHeight="1">
      <c r="C424" s="23"/>
      <c r="D424" s="7"/>
    </row>
    <row r="425" ht="14.25" customHeight="1">
      <c r="C425" s="23"/>
      <c r="D425" s="7"/>
    </row>
    <row r="426" ht="14.25" customHeight="1">
      <c r="C426" s="23"/>
      <c r="D426" s="7"/>
    </row>
    <row r="427" ht="14.25" customHeight="1">
      <c r="C427" s="23"/>
      <c r="D427" s="7"/>
    </row>
    <row r="428" ht="14.25" customHeight="1">
      <c r="C428" s="23"/>
      <c r="D428" s="7"/>
    </row>
    <row r="429" ht="14.25" customHeight="1">
      <c r="C429" s="23"/>
      <c r="D429" s="7"/>
    </row>
    <row r="430" ht="14.25" customHeight="1">
      <c r="C430" s="23"/>
      <c r="D430" s="7"/>
    </row>
    <row r="431" ht="14.25" customHeight="1">
      <c r="C431" s="23"/>
      <c r="D431" s="7"/>
    </row>
    <row r="432" ht="14.25" customHeight="1">
      <c r="C432" s="23"/>
      <c r="D432" s="7"/>
    </row>
    <row r="433" ht="14.25" customHeight="1">
      <c r="C433" s="23"/>
      <c r="D433" s="7"/>
    </row>
    <row r="434" ht="14.25" customHeight="1">
      <c r="C434" s="23"/>
      <c r="D434" s="7"/>
    </row>
    <row r="435" ht="14.25" customHeight="1">
      <c r="C435" s="23"/>
      <c r="D435" s="7"/>
    </row>
    <row r="436" ht="14.25" customHeight="1">
      <c r="C436" s="23"/>
      <c r="D436" s="7"/>
    </row>
    <row r="437" ht="14.25" customHeight="1">
      <c r="C437" s="23"/>
      <c r="D437" s="7"/>
    </row>
    <row r="438" ht="14.25" customHeight="1">
      <c r="C438" s="23"/>
      <c r="D438" s="7"/>
    </row>
    <row r="439" ht="14.25" customHeight="1">
      <c r="C439" s="23"/>
      <c r="D439" s="7"/>
    </row>
    <row r="440" ht="14.25" customHeight="1">
      <c r="C440" s="23"/>
      <c r="D440" s="7"/>
    </row>
    <row r="441" ht="14.25" customHeight="1">
      <c r="C441" s="23"/>
      <c r="D441" s="7"/>
    </row>
    <row r="442" ht="14.25" customHeight="1">
      <c r="C442" s="23"/>
      <c r="D442" s="7"/>
    </row>
    <row r="443" ht="14.25" customHeight="1">
      <c r="C443" s="23"/>
      <c r="D443" s="7"/>
    </row>
    <row r="444" ht="14.25" customHeight="1">
      <c r="C444" s="23"/>
      <c r="D444" s="7"/>
    </row>
    <row r="445" ht="14.25" customHeight="1">
      <c r="C445" s="23"/>
      <c r="D445" s="7"/>
    </row>
    <row r="446" ht="14.25" customHeight="1">
      <c r="C446" s="23"/>
      <c r="D446" s="7"/>
    </row>
    <row r="447" ht="14.25" customHeight="1">
      <c r="C447" s="23"/>
      <c r="D447" s="7"/>
    </row>
    <row r="448" ht="14.25" customHeight="1">
      <c r="C448" s="23"/>
      <c r="D448" s="7"/>
    </row>
    <row r="449" ht="14.25" customHeight="1">
      <c r="C449" s="23"/>
      <c r="D449" s="7"/>
    </row>
    <row r="450" ht="14.25" customHeight="1">
      <c r="C450" s="23"/>
      <c r="D450" s="7"/>
    </row>
    <row r="451" ht="14.25" customHeight="1">
      <c r="C451" s="23"/>
      <c r="D451" s="7"/>
    </row>
    <row r="452" ht="14.25" customHeight="1">
      <c r="C452" s="23"/>
      <c r="D452" s="7"/>
    </row>
    <row r="453" ht="14.25" customHeight="1">
      <c r="C453" s="23"/>
      <c r="D453" s="7"/>
    </row>
    <row r="454" ht="14.25" customHeight="1">
      <c r="C454" s="23"/>
      <c r="D454" s="7"/>
    </row>
    <row r="455" ht="14.25" customHeight="1">
      <c r="C455" s="23"/>
      <c r="D455" s="7"/>
    </row>
    <row r="456" ht="14.25" customHeight="1">
      <c r="C456" s="23"/>
      <c r="D456" s="7"/>
    </row>
    <row r="457" ht="14.25" customHeight="1">
      <c r="C457" s="23"/>
      <c r="D457" s="7"/>
    </row>
    <row r="458" ht="14.25" customHeight="1">
      <c r="C458" s="23"/>
      <c r="D458" s="7"/>
    </row>
    <row r="459" ht="14.25" customHeight="1">
      <c r="C459" s="23"/>
      <c r="D459" s="7"/>
    </row>
    <row r="460" ht="14.25" customHeight="1">
      <c r="C460" s="23"/>
      <c r="D460" s="7"/>
    </row>
    <row r="461" ht="14.25" customHeight="1">
      <c r="C461" s="23"/>
      <c r="D461" s="7"/>
    </row>
    <row r="462" ht="14.25" customHeight="1">
      <c r="C462" s="23"/>
      <c r="D462" s="7"/>
    </row>
    <row r="463" ht="14.25" customHeight="1">
      <c r="C463" s="23"/>
      <c r="D463" s="7"/>
    </row>
    <row r="464" ht="14.25" customHeight="1">
      <c r="C464" s="23"/>
      <c r="D464" s="7"/>
    </row>
    <row r="465" ht="14.25" customHeight="1">
      <c r="C465" s="23"/>
      <c r="D465" s="7"/>
    </row>
    <row r="466" ht="14.25" customHeight="1">
      <c r="C466" s="23"/>
      <c r="D466" s="7"/>
    </row>
    <row r="467" ht="14.25" customHeight="1">
      <c r="C467" s="23"/>
      <c r="D467" s="7"/>
    </row>
    <row r="468" ht="14.25" customHeight="1">
      <c r="C468" s="23"/>
      <c r="D468" s="7"/>
    </row>
    <row r="469" ht="14.25" customHeight="1">
      <c r="C469" s="23"/>
      <c r="D469" s="7"/>
    </row>
    <row r="470" ht="14.25" customHeight="1">
      <c r="C470" s="23"/>
      <c r="D470" s="7"/>
    </row>
    <row r="471" ht="14.25" customHeight="1">
      <c r="C471" s="23"/>
      <c r="D471" s="7"/>
    </row>
    <row r="472" ht="14.25" customHeight="1">
      <c r="C472" s="23"/>
      <c r="D472" s="7"/>
    </row>
    <row r="473" ht="14.25" customHeight="1">
      <c r="C473" s="23"/>
      <c r="D473" s="7"/>
    </row>
    <row r="474" ht="14.25" customHeight="1">
      <c r="C474" s="23"/>
      <c r="D474" s="7"/>
    </row>
    <row r="475" ht="14.25" customHeight="1">
      <c r="C475" s="23"/>
      <c r="D475" s="7"/>
    </row>
    <row r="476" ht="14.25" customHeight="1">
      <c r="C476" s="23"/>
      <c r="D476" s="7"/>
    </row>
    <row r="477" ht="14.25" customHeight="1">
      <c r="C477" s="23"/>
      <c r="D477" s="7"/>
    </row>
    <row r="478" ht="14.25" customHeight="1">
      <c r="C478" s="23"/>
      <c r="D478" s="7"/>
    </row>
    <row r="479" ht="14.25" customHeight="1">
      <c r="C479" s="23"/>
      <c r="D479" s="7"/>
    </row>
    <row r="480" ht="14.25" customHeight="1">
      <c r="C480" s="23"/>
      <c r="D480" s="7"/>
    </row>
    <row r="481" ht="14.25" customHeight="1">
      <c r="C481" s="23"/>
      <c r="D481" s="7"/>
    </row>
    <row r="482" ht="14.25" customHeight="1">
      <c r="C482" s="23"/>
      <c r="D482" s="7"/>
    </row>
    <row r="483" ht="14.25" customHeight="1">
      <c r="C483" s="23"/>
      <c r="D483" s="7"/>
    </row>
    <row r="484" ht="14.25" customHeight="1">
      <c r="C484" s="23"/>
      <c r="D484" s="7"/>
    </row>
    <row r="485" ht="14.25" customHeight="1">
      <c r="C485" s="23"/>
      <c r="D485" s="7"/>
    </row>
    <row r="486" ht="14.25" customHeight="1">
      <c r="C486" s="23"/>
      <c r="D486" s="7"/>
    </row>
    <row r="487" ht="14.25" customHeight="1">
      <c r="C487" s="23"/>
      <c r="D487" s="7"/>
    </row>
    <row r="488" ht="14.25" customHeight="1">
      <c r="C488" s="23"/>
      <c r="D488" s="7"/>
    </row>
    <row r="489" ht="14.25" customHeight="1">
      <c r="C489" s="23"/>
      <c r="D489" s="7"/>
    </row>
    <row r="490" ht="14.25" customHeight="1">
      <c r="C490" s="23"/>
      <c r="D490" s="7"/>
    </row>
    <row r="491" ht="14.25" customHeight="1">
      <c r="C491" s="23"/>
      <c r="D491" s="7"/>
    </row>
    <row r="492" ht="14.25" customHeight="1">
      <c r="C492" s="23"/>
      <c r="D492" s="7"/>
    </row>
    <row r="493" ht="14.25" customHeight="1">
      <c r="C493" s="23"/>
      <c r="D493" s="7"/>
    </row>
    <row r="494" ht="14.25" customHeight="1">
      <c r="C494" s="23"/>
      <c r="D494" s="7"/>
    </row>
    <row r="495" ht="14.25" customHeight="1">
      <c r="C495" s="23"/>
      <c r="D495" s="7"/>
    </row>
    <row r="496" ht="14.25" customHeight="1">
      <c r="C496" s="23"/>
      <c r="D496" s="7"/>
    </row>
    <row r="497" ht="14.25" customHeight="1">
      <c r="C497" s="23"/>
      <c r="D497" s="7"/>
    </row>
    <row r="498" ht="14.25" customHeight="1">
      <c r="C498" s="23"/>
      <c r="D498" s="7"/>
    </row>
    <row r="499" ht="14.25" customHeight="1">
      <c r="C499" s="23"/>
      <c r="D499" s="7"/>
    </row>
    <row r="500" ht="14.25" customHeight="1">
      <c r="C500" s="23"/>
      <c r="D500" s="7"/>
    </row>
    <row r="501" ht="14.25" customHeight="1">
      <c r="C501" s="23"/>
      <c r="D501" s="7"/>
    </row>
    <row r="502" ht="14.25" customHeight="1">
      <c r="C502" s="23"/>
      <c r="D502" s="7"/>
    </row>
    <row r="503" ht="14.25" customHeight="1">
      <c r="C503" s="23"/>
      <c r="D503" s="7"/>
    </row>
    <row r="504" ht="14.25" customHeight="1">
      <c r="C504" s="23"/>
      <c r="D504" s="7"/>
    </row>
    <row r="505" ht="14.25" customHeight="1">
      <c r="C505" s="23"/>
      <c r="D505" s="7"/>
    </row>
    <row r="506" ht="14.25" customHeight="1">
      <c r="C506" s="23"/>
      <c r="D506" s="7"/>
    </row>
    <row r="507" ht="14.25" customHeight="1">
      <c r="C507" s="23"/>
      <c r="D507" s="7"/>
    </row>
    <row r="508" ht="14.25" customHeight="1">
      <c r="C508" s="23"/>
      <c r="D508" s="7"/>
    </row>
    <row r="509" ht="14.25" customHeight="1">
      <c r="C509" s="23"/>
      <c r="D509" s="7"/>
    </row>
    <row r="510" ht="14.25" customHeight="1">
      <c r="C510" s="23"/>
      <c r="D510" s="7"/>
    </row>
    <row r="511" ht="14.25" customHeight="1">
      <c r="C511" s="23"/>
      <c r="D511" s="7"/>
    </row>
    <row r="512" ht="14.25" customHeight="1">
      <c r="C512" s="23"/>
      <c r="D512" s="7"/>
    </row>
    <row r="513" ht="14.25" customHeight="1">
      <c r="C513" s="23"/>
      <c r="D513" s="7"/>
    </row>
    <row r="514" ht="14.25" customHeight="1">
      <c r="C514" s="23"/>
      <c r="D514" s="7"/>
    </row>
    <row r="515" ht="14.25" customHeight="1">
      <c r="C515" s="23"/>
      <c r="D515" s="7"/>
    </row>
    <row r="516" ht="14.25" customHeight="1">
      <c r="C516" s="23"/>
      <c r="D516" s="7"/>
    </row>
    <row r="517" ht="14.25" customHeight="1">
      <c r="C517" s="23"/>
      <c r="D517" s="7"/>
    </row>
    <row r="518" ht="14.25" customHeight="1">
      <c r="C518" s="23"/>
      <c r="D518" s="7"/>
    </row>
    <row r="519" ht="14.25" customHeight="1">
      <c r="C519" s="23"/>
      <c r="D519" s="7"/>
    </row>
    <row r="520" ht="14.25" customHeight="1">
      <c r="C520" s="23"/>
      <c r="D520" s="7"/>
    </row>
    <row r="521" ht="14.25" customHeight="1">
      <c r="C521" s="23"/>
      <c r="D521" s="7"/>
    </row>
    <row r="522" ht="14.25" customHeight="1">
      <c r="C522" s="23"/>
      <c r="D522" s="7"/>
    </row>
    <row r="523" ht="14.25" customHeight="1">
      <c r="C523" s="23"/>
      <c r="D523" s="7"/>
    </row>
    <row r="524" ht="14.25" customHeight="1">
      <c r="C524" s="23"/>
      <c r="D524" s="7"/>
    </row>
    <row r="525" ht="14.25" customHeight="1">
      <c r="C525" s="23"/>
      <c r="D525" s="7"/>
    </row>
    <row r="526" ht="14.25" customHeight="1">
      <c r="C526" s="23"/>
      <c r="D526" s="7"/>
    </row>
    <row r="527" ht="14.25" customHeight="1">
      <c r="C527" s="23"/>
      <c r="D527" s="7"/>
    </row>
    <row r="528" ht="14.25" customHeight="1">
      <c r="C528" s="23"/>
      <c r="D528" s="7"/>
    </row>
    <row r="529" ht="14.25" customHeight="1">
      <c r="C529" s="23"/>
      <c r="D529" s="7"/>
    </row>
    <row r="530" ht="14.25" customHeight="1">
      <c r="C530" s="23"/>
      <c r="D530" s="7"/>
    </row>
    <row r="531" ht="14.25" customHeight="1">
      <c r="C531" s="23"/>
      <c r="D531" s="7"/>
    </row>
    <row r="532" ht="14.25" customHeight="1">
      <c r="C532" s="23"/>
      <c r="D532" s="7"/>
    </row>
    <row r="533" ht="14.25" customHeight="1">
      <c r="C533" s="23"/>
      <c r="D533" s="7"/>
    </row>
    <row r="534" ht="14.25" customHeight="1">
      <c r="C534" s="23"/>
      <c r="D534" s="7"/>
    </row>
    <row r="535" ht="14.25" customHeight="1">
      <c r="C535" s="23"/>
      <c r="D535" s="7"/>
    </row>
    <row r="536" ht="14.25" customHeight="1">
      <c r="C536" s="23"/>
      <c r="D536" s="7"/>
    </row>
    <row r="537" ht="14.25" customHeight="1">
      <c r="C537" s="23"/>
      <c r="D537" s="7"/>
    </row>
    <row r="538" ht="14.25" customHeight="1">
      <c r="C538" s="23"/>
      <c r="D538" s="7"/>
    </row>
    <row r="539" ht="14.25" customHeight="1">
      <c r="C539" s="23"/>
      <c r="D539" s="7"/>
    </row>
    <row r="540" ht="14.25" customHeight="1">
      <c r="C540" s="23"/>
      <c r="D540" s="7"/>
    </row>
    <row r="541" ht="14.25" customHeight="1">
      <c r="C541" s="23"/>
      <c r="D541" s="7"/>
    </row>
    <row r="542" ht="14.25" customHeight="1">
      <c r="C542" s="23"/>
      <c r="D542" s="7"/>
    </row>
    <row r="543" ht="14.25" customHeight="1">
      <c r="C543" s="23"/>
      <c r="D543" s="7"/>
    </row>
    <row r="544" ht="14.25" customHeight="1">
      <c r="C544" s="23"/>
      <c r="D544" s="7"/>
    </row>
    <row r="545" ht="14.25" customHeight="1">
      <c r="C545" s="23"/>
      <c r="D545" s="7"/>
    </row>
    <row r="546" ht="14.25" customHeight="1">
      <c r="C546" s="23"/>
      <c r="D546" s="7"/>
    </row>
    <row r="547" ht="14.25" customHeight="1">
      <c r="C547" s="23"/>
      <c r="D547" s="7"/>
    </row>
    <row r="548" ht="14.25" customHeight="1">
      <c r="C548" s="23"/>
      <c r="D548" s="7"/>
    </row>
    <row r="549" ht="14.25" customHeight="1">
      <c r="C549" s="23"/>
      <c r="D549" s="7"/>
    </row>
    <row r="550" ht="14.25" customHeight="1">
      <c r="C550" s="23"/>
      <c r="D550" s="7"/>
    </row>
    <row r="551" ht="14.25" customHeight="1">
      <c r="C551" s="23"/>
      <c r="D551" s="7"/>
    </row>
    <row r="552" ht="14.25" customHeight="1">
      <c r="C552" s="23"/>
      <c r="D552" s="7"/>
    </row>
    <row r="553" ht="14.25" customHeight="1">
      <c r="C553" s="23"/>
      <c r="D553" s="7"/>
    </row>
    <row r="554" ht="14.25" customHeight="1">
      <c r="C554" s="23"/>
      <c r="D554" s="7"/>
    </row>
    <row r="555" ht="14.25" customHeight="1">
      <c r="C555" s="23"/>
      <c r="D555" s="7"/>
    </row>
    <row r="556" ht="14.25" customHeight="1">
      <c r="C556" s="23"/>
      <c r="D556" s="7"/>
    </row>
    <row r="557" ht="14.25" customHeight="1">
      <c r="C557" s="23"/>
      <c r="D557" s="7"/>
    </row>
    <row r="558" ht="14.25" customHeight="1">
      <c r="C558" s="23"/>
      <c r="D558" s="7"/>
    </row>
    <row r="559" ht="14.25" customHeight="1">
      <c r="C559" s="23"/>
      <c r="D559" s="7"/>
    </row>
    <row r="560" ht="14.25" customHeight="1">
      <c r="C560" s="23"/>
      <c r="D560" s="7"/>
    </row>
    <row r="561" ht="14.25" customHeight="1">
      <c r="C561" s="23"/>
      <c r="D561" s="7"/>
    </row>
    <row r="562" ht="14.25" customHeight="1">
      <c r="C562" s="23"/>
      <c r="D562" s="7"/>
    </row>
    <row r="563" ht="14.25" customHeight="1">
      <c r="C563" s="23"/>
      <c r="D563" s="7"/>
    </row>
    <row r="564" ht="14.25" customHeight="1">
      <c r="C564" s="23"/>
      <c r="D564" s="7"/>
    </row>
    <row r="565" ht="14.25" customHeight="1">
      <c r="C565" s="23"/>
      <c r="D565" s="7"/>
    </row>
    <row r="566" ht="14.25" customHeight="1">
      <c r="C566" s="23"/>
      <c r="D566" s="7"/>
    </row>
    <row r="567" ht="14.25" customHeight="1">
      <c r="C567" s="23"/>
      <c r="D567" s="7"/>
    </row>
    <row r="568" ht="14.25" customHeight="1">
      <c r="C568" s="23"/>
      <c r="D568" s="7"/>
    </row>
    <row r="569" ht="14.25" customHeight="1">
      <c r="C569" s="23"/>
      <c r="D569" s="7"/>
    </row>
    <row r="570" ht="14.25" customHeight="1">
      <c r="C570" s="23"/>
      <c r="D570" s="7"/>
    </row>
    <row r="571" ht="14.25" customHeight="1">
      <c r="C571" s="23"/>
      <c r="D571" s="7"/>
    </row>
    <row r="572" ht="14.25" customHeight="1">
      <c r="C572" s="23"/>
      <c r="D572" s="7"/>
    </row>
    <row r="573" ht="14.25" customHeight="1">
      <c r="C573" s="23"/>
      <c r="D573" s="7"/>
    </row>
    <row r="574" ht="14.25" customHeight="1">
      <c r="C574" s="23"/>
      <c r="D574" s="7"/>
    </row>
    <row r="575" ht="14.25" customHeight="1">
      <c r="C575" s="23"/>
      <c r="D575" s="7"/>
    </row>
    <row r="576" ht="14.25" customHeight="1">
      <c r="C576" s="23"/>
      <c r="D576" s="7"/>
    </row>
    <row r="577" ht="14.25" customHeight="1">
      <c r="C577" s="23"/>
      <c r="D577" s="7"/>
    </row>
    <row r="578" ht="14.25" customHeight="1">
      <c r="C578" s="23"/>
      <c r="D578" s="7"/>
    </row>
    <row r="579" ht="14.25" customHeight="1">
      <c r="C579" s="23"/>
      <c r="D579" s="7"/>
    </row>
    <row r="580" ht="14.25" customHeight="1">
      <c r="C580" s="23"/>
      <c r="D580" s="7"/>
    </row>
    <row r="581" ht="14.25" customHeight="1">
      <c r="C581" s="23"/>
      <c r="D581" s="7"/>
    </row>
    <row r="582" ht="14.25" customHeight="1">
      <c r="C582" s="23"/>
      <c r="D582" s="7"/>
    </row>
    <row r="583" ht="14.25" customHeight="1">
      <c r="C583" s="23"/>
      <c r="D583" s="7"/>
    </row>
    <row r="584" ht="14.25" customHeight="1">
      <c r="C584" s="23"/>
      <c r="D584" s="7"/>
    </row>
    <row r="585" ht="14.25" customHeight="1">
      <c r="C585" s="23"/>
      <c r="D585" s="7"/>
    </row>
    <row r="586" ht="14.25" customHeight="1">
      <c r="C586" s="23"/>
      <c r="D586" s="7"/>
    </row>
    <row r="587" ht="14.25" customHeight="1">
      <c r="C587" s="23"/>
      <c r="D587" s="7"/>
    </row>
    <row r="588" ht="14.25" customHeight="1">
      <c r="C588" s="23"/>
      <c r="D588" s="7"/>
    </row>
    <row r="589" ht="14.25" customHeight="1">
      <c r="C589" s="23"/>
      <c r="D589" s="7"/>
    </row>
    <row r="590" ht="14.25" customHeight="1">
      <c r="C590" s="23"/>
      <c r="D590" s="7"/>
    </row>
    <row r="591" ht="14.25" customHeight="1">
      <c r="C591" s="23"/>
      <c r="D591" s="7"/>
    </row>
    <row r="592" ht="14.25" customHeight="1">
      <c r="C592" s="23"/>
      <c r="D592" s="7"/>
    </row>
    <row r="593" ht="14.25" customHeight="1">
      <c r="C593" s="23"/>
      <c r="D593" s="7"/>
    </row>
    <row r="594" ht="14.25" customHeight="1">
      <c r="C594" s="23"/>
      <c r="D594" s="7"/>
    </row>
    <row r="595" ht="14.25" customHeight="1">
      <c r="C595" s="23"/>
      <c r="D595" s="7"/>
    </row>
    <row r="596" ht="14.25" customHeight="1">
      <c r="C596" s="23"/>
      <c r="D596" s="7"/>
    </row>
    <row r="597" ht="14.25" customHeight="1">
      <c r="C597" s="23"/>
      <c r="D597" s="7"/>
    </row>
    <row r="598" ht="14.25" customHeight="1">
      <c r="C598" s="23"/>
      <c r="D598" s="7"/>
    </row>
    <row r="599" ht="14.25" customHeight="1">
      <c r="C599" s="23"/>
      <c r="D599" s="7"/>
    </row>
    <row r="600" ht="14.25" customHeight="1">
      <c r="C600" s="23"/>
      <c r="D600" s="7"/>
    </row>
    <row r="601" ht="14.25" customHeight="1">
      <c r="C601" s="23"/>
      <c r="D601" s="7"/>
    </row>
    <row r="602" ht="14.25" customHeight="1">
      <c r="C602" s="23"/>
      <c r="D602" s="7"/>
    </row>
    <row r="603" ht="14.25" customHeight="1">
      <c r="C603" s="23"/>
      <c r="D603" s="7"/>
    </row>
    <row r="604" ht="14.25" customHeight="1">
      <c r="C604" s="23"/>
      <c r="D604" s="7"/>
    </row>
    <row r="605" ht="14.25" customHeight="1">
      <c r="C605" s="23"/>
      <c r="D605" s="7"/>
    </row>
    <row r="606" ht="14.25" customHeight="1">
      <c r="C606" s="23"/>
      <c r="D606" s="7"/>
    </row>
    <row r="607" ht="14.25" customHeight="1">
      <c r="C607" s="23"/>
      <c r="D607" s="7"/>
    </row>
    <row r="608" ht="14.25" customHeight="1">
      <c r="C608" s="23"/>
      <c r="D608" s="7"/>
    </row>
    <row r="609" ht="14.25" customHeight="1">
      <c r="C609" s="23"/>
      <c r="D609" s="7"/>
    </row>
    <row r="610" ht="14.25" customHeight="1">
      <c r="C610" s="23"/>
      <c r="D610" s="7"/>
    </row>
    <row r="611" ht="14.25" customHeight="1">
      <c r="C611" s="23"/>
      <c r="D611" s="7"/>
    </row>
    <row r="612" ht="14.25" customHeight="1">
      <c r="C612" s="23"/>
      <c r="D612" s="7"/>
    </row>
    <row r="613" ht="14.25" customHeight="1">
      <c r="C613" s="23"/>
      <c r="D613" s="7"/>
    </row>
    <row r="614" ht="14.25" customHeight="1">
      <c r="C614" s="23"/>
      <c r="D614" s="7"/>
    </row>
    <row r="615" ht="14.25" customHeight="1">
      <c r="C615" s="23"/>
      <c r="D615" s="7"/>
    </row>
    <row r="616" ht="14.25" customHeight="1">
      <c r="C616" s="23"/>
      <c r="D616" s="7"/>
    </row>
    <row r="617" ht="14.25" customHeight="1">
      <c r="C617" s="23"/>
      <c r="D617" s="7"/>
    </row>
    <row r="618" ht="14.25" customHeight="1">
      <c r="C618" s="23"/>
      <c r="D618" s="7"/>
    </row>
    <row r="619" ht="14.25" customHeight="1">
      <c r="C619" s="23"/>
      <c r="D619" s="7"/>
    </row>
    <row r="620" ht="14.25" customHeight="1">
      <c r="C620" s="23"/>
      <c r="D620" s="7"/>
    </row>
    <row r="621" ht="14.25" customHeight="1">
      <c r="C621" s="23"/>
      <c r="D621" s="7"/>
    </row>
    <row r="622" ht="14.25" customHeight="1">
      <c r="C622" s="23"/>
      <c r="D622" s="7"/>
    </row>
    <row r="623" ht="14.25" customHeight="1">
      <c r="C623" s="23"/>
      <c r="D623" s="7"/>
    </row>
    <row r="624" ht="14.25" customHeight="1">
      <c r="C624" s="23"/>
      <c r="D624" s="7"/>
    </row>
    <row r="625" ht="14.25" customHeight="1">
      <c r="C625" s="23"/>
      <c r="D625" s="7"/>
    </row>
    <row r="626" ht="14.25" customHeight="1">
      <c r="C626" s="23"/>
      <c r="D626" s="7"/>
    </row>
    <row r="627" ht="14.25" customHeight="1">
      <c r="C627" s="23"/>
      <c r="D627" s="7"/>
    </row>
    <row r="628" ht="14.25" customHeight="1">
      <c r="C628" s="23"/>
      <c r="D628" s="7"/>
    </row>
    <row r="629" ht="14.25" customHeight="1">
      <c r="C629" s="23"/>
      <c r="D629" s="7"/>
    </row>
    <row r="630" ht="14.25" customHeight="1">
      <c r="C630" s="23"/>
      <c r="D630" s="7"/>
    </row>
    <row r="631" ht="14.25" customHeight="1">
      <c r="C631" s="23"/>
      <c r="D631" s="7"/>
    </row>
    <row r="632" ht="14.25" customHeight="1">
      <c r="C632" s="23"/>
      <c r="D632" s="7"/>
    </row>
    <row r="633" ht="14.25" customHeight="1">
      <c r="C633" s="23"/>
      <c r="D633" s="7"/>
    </row>
    <row r="634" ht="14.25" customHeight="1">
      <c r="C634" s="23"/>
      <c r="D634" s="7"/>
    </row>
    <row r="635" ht="14.25" customHeight="1">
      <c r="C635" s="23"/>
      <c r="D635" s="7"/>
    </row>
    <row r="636" ht="14.25" customHeight="1">
      <c r="C636" s="23"/>
      <c r="D636" s="7"/>
    </row>
    <row r="637" ht="14.25" customHeight="1">
      <c r="C637" s="23"/>
      <c r="D637" s="7"/>
    </row>
    <row r="638" ht="14.25" customHeight="1">
      <c r="C638" s="23"/>
      <c r="D638" s="7"/>
    </row>
    <row r="639" ht="14.25" customHeight="1">
      <c r="C639" s="23"/>
      <c r="D639" s="7"/>
    </row>
    <row r="640" ht="14.25" customHeight="1">
      <c r="C640" s="23"/>
      <c r="D640" s="7"/>
    </row>
    <row r="641" ht="14.25" customHeight="1">
      <c r="C641" s="23"/>
      <c r="D641" s="7"/>
    </row>
    <row r="642" ht="14.25" customHeight="1">
      <c r="C642" s="23"/>
      <c r="D642" s="7"/>
    </row>
    <row r="643" ht="14.25" customHeight="1">
      <c r="C643" s="23"/>
      <c r="D643" s="7"/>
    </row>
    <row r="644" ht="14.25" customHeight="1">
      <c r="C644" s="23"/>
      <c r="D644" s="7"/>
    </row>
    <row r="645" ht="14.25" customHeight="1">
      <c r="C645" s="23"/>
      <c r="D645" s="7"/>
    </row>
    <row r="646" ht="14.25" customHeight="1">
      <c r="C646" s="23"/>
      <c r="D646" s="7"/>
    </row>
    <row r="647" ht="14.25" customHeight="1">
      <c r="C647" s="23"/>
      <c r="D647" s="7"/>
    </row>
    <row r="648" ht="14.25" customHeight="1">
      <c r="C648" s="23"/>
      <c r="D648" s="7"/>
    </row>
    <row r="649" ht="14.25" customHeight="1">
      <c r="C649" s="23"/>
      <c r="D649" s="7"/>
    </row>
    <row r="650" ht="14.25" customHeight="1">
      <c r="C650" s="23"/>
      <c r="D650" s="7"/>
    </row>
    <row r="651" ht="14.25" customHeight="1">
      <c r="C651" s="23"/>
      <c r="D651" s="7"/>
    </row>
    <row r="652" ht="14.25" customHeight="1">
      <c r="C652" s="23"/>
      <c r="D652" s="7"/>
    </row>
    <row r="653" ht="14.25" customHeight="1">
      <c r="C653" s="23"/>
      <c r="D653" s="7"/>
    </row>
    <row r="654" ht="14.25" customHeight="1">
      <c r="C654" s="23"/>
      <c r="D654" s="7"/>
    </row>
    <row r="655" ht="14.25" customHeight="1">
      <c r="C655" s="23"/>
      <c r="D655" s="7"/>
    </row>
    <row r="656" ht="14.25" customHeight="1">
      <c r="C656" s="23"/>
      <c r="D656" s="7"/>
    </row>
    <row r="657" ht="14.25" customHeight="1">
      <c r="C657" s="23"/>
      <c r="D657" s="7"/>
    </row>
    <row r="658" ht="14.25" customHeight="1">
      <c r="C658" s="23"/>
      <c r="D658" s="7"/>
    </row>
    <row r="659" ht="14.25" customHeight="1">
      <c r="C659" s="23"/>
      <c r="D659" s="7"/>
    </row>
    <row r="660" ht="14.25" customHeight="1">
      <c r="C660" s="23"/>
      <c r="D660" s="7"/>
    </row>
    <row r="661" ht="14.25" customHeight="1">
      <c r="C661" s="23"/>
      <c r="D661" s="7"/>
    </row>
    <row r="662" ht="14.25" customHeight="1">
      <c r="C662" s="23"/>
      <c r="D662" s="7"/>
    </row>
    <row r="663" ht="14.25" customHeight="1">
      <c r="C663" s="23"/>
      <c r="D663" s="7"/>
    </row>
    <row r="664" ht="14.25" customHeight="1">
      <c r="C664" s="23"/>
      <c r="D664" s="7"/>
    </row>
    <row r="665" ht="14.25" customHeight="1">
      <c r="C665" s="23"/>
      <c r="D665" s="7"/>
    </row>
    <row r="666" ht="14.25" customHeight="1">
      <c r="C666" s="23"/>
      <c r="D666" s="7"/>
    </row>
    <row r="667" ht="14.25" customHeight="1">
      <c r="C667" s="23"/>
      <c r="D667" s="7"/>
    </row>
    <row r="668" ht="14.25" customHeight="1">
      <c r="C668" s="23"/>
      <c r="D668" s="7"/>
    </row>
    <row r="669" ht="14.25" customHeight="1">
      <c r="C669" s="23"/>
      <c r="D669" s="7"/>
    </row>
    <row r="670" ht="14.25" customHeight="1">
      <c r="C670" s="23"/>
      <c r="D670" s="7"/>
    </row>
    <row r="671" ht="14.25" customHeight="1">
      <c r="C671" s="23"/>
      <c r="D671" s="7"/>
    </row>
    <row r="672" ht="14.25" customHeight="1">
      <c r="C672" s="23"/>
      <c r="D672" s="7"/>
    </row>
    <row r="673" ht="14.25" customHeight="1">
      <c r="C673" s="23"/>
      <c r="D673" s="7"/>
    </row>
    <row r="674" ht="14.25" customHeight="1">
      <c r="C674" s="23"/>
      <c r="D674" s="7"/>
    </row>
    <row r="675" ht="14.25" customHeight="1">
      <c r="C675" s="23"/>
      <c r="D675" s="7"/>
    </row>
    <row r="676" ht="14.25" customHeight="1">
      <c r="C676" s="23"/>
      <c r="D676" s="7"/>
    </row>
    <row r="677" ht="14.25" customHeight="1">
      <c r="C677" s="23"/>
      <c r="D677" s="7"/>
    </row>
    <row r="678" ht="14.25" customHeight="1">
      <c r="C678" s="23"/>
      <c r="D678" s="7"/>
    </row>
    <row r="679" ht="14.25" customHeight="1">
      <c r="C679" s="23"/>
      <c r="D679" s="7"/>
    </row>
    <row r="680" ht="14.25" customHeight="1">
      <c r="C680" s="23"/>
      <c r="D680" s="7"/>
    </row>
    <row r="681" ht="14.25" customHeight="1">
      <c r="C681" s="23"/>
      <c r="D681" s="7"/>
    </row>
    <row r="682" ht="14.25" customHeight="1">
      <c r="C682" s="23"/>
      <c r="D682" s="7"/>
    </row>
    <row r="683" ht="14.25" customHeight="1">
      <c r="C683" s="23"/>
      <c r="D683" s="7"/>
    </row>
    <row r="684" ht="14.25" customHeight="1">
      <c r="C684" s="23"/>
      <c r="D684" s="7"/>
    </row>
    <row r="685" ht="14.25" customHeight="1">
      <c r="C685" s="23"/>
      <c r="D685" s="7"/>
    </row>
    <row r="686" ht="14.25" customHeight="1">
      <c r="C686" s="23"/>
      <c r="D686" s="7"/>
    </row>
    <row r="687" ht="14.25" customHeight="1">
      <c r="C687" s="23"/>
      <c r="D687" s="7"/>
    </row>
    <row r="688" ht="14.25" customHeight="1">
      <c r="C688" s="23"/>
      <c r="D688" s="7"/>
    </row>
    <row r="689" ht="14.25" customHeight="1">
      <c r="C689" s="23"/>
      <c r="D689" s="7"/>
    </row>
    <row r="690" ht="14.25" customHeight="1">
      <c r="C690" s="23"/>
      <c r="D690" s="7"/>
    </row>
    <row r="691" ht="14.25" customHeight="1">
      <c r="C691" s="23"/>
      <c r="D691" s="7"/>
    </row>
    <row r="692" ht="14.25" customHeight="1">
      <c r="C692" s="23"/>
      <c r="D692" s="7"/>
    </row>
    <row r="693" ht="14.25" customHeight="1">
      <c r="C693" s="23"/>
      <c r="D693" s="7"/>
    </row>
    <row r="694" ht="14.25" customHeight="1">
      <c r="C694" s="23"/>
      <c r="D694" s="7"/>
    </row>
    <row r="695" ht="14.25" customHeight="1">
      <c r="C695" s="23"/>
      <c r="D695" s="7"/>
    </row>
    <row r="696" ht="14.25" customHeight="1">
      <c r="C696" s="23"/>
      <c r="D696" s="7"/>
    </row>
    <row r="697" ht="14.25" customHeight="1">
      <c r="C697" s="23"/>
      <c r="D697" s="7"/>
    </row>
    <row r="698" ht="14.25" customHeight="1">
      <c r="C698" s="23"/>
      <c r="D698" s="7"/>
    </row>
    <row r="699" ht="14.25" customHeight="1">
      <c r="C699" s="23"/>
      <c r="D699" s="7"/>
    </row>
    <row r="700" ht="14.25" customHeight="1">
      <c r="C700" s="23"/>
      <c r="D700" s="7"/>
    </row>
    <row r="701" ht="14.25" customHeight="1">
      <c r="C701" s="23"/>
      <c r="D701" s="7"/>
    </row>
    <row r="702" ht="14.25" customHeight="1">
      <c r="C702" s="23"/>
      <c r="D702" s="7"/>
    </row>
    <row r="703" ht="14.25" customHeight="1">
      <c r="C703" s="23"/>
      <c r="D703" s="7"/>
    </row>
    <row r="704" ht="14.25" customHeight="1">
      <c r="C704" s="23"/>
      <c r="D704" s="7"/>
    </row>
    <row r="705" ht="14.25" customHeight="1">
      <c r="C705" s="23"/>
      <c r="D705" s="7"/>
    </row>
    <row r="706" ht="14.25" customHeight="1">
      <c r="C706" s="23"/>
      <c r="D706" s="7"/>
    </row>
    <row r="707" ht="14.25" customHeight="1">
      <c r="C707" s="23"/>
      <c r="D707" s="7"/>
    </row>
    <row r="708" ht="14.25" customHeight="1">
      <c r="C708" s="23"/>
      <c r="D708" s="7"/>
    </row>
    <row r="709" ht="14.25" customHeight="1">
      <c r="C709" s="23"/>
      <c r="D709" s="7"/>
    </row>
    <row r="710" ht="14.25" customHeight="1">
      <c r="C710" s="23"/>
      <c r="D710" s="7"/>
    </row>
    <row r="711" ht="14.25" customHeight="1">
      <c r="C711" s="23"/>
      <c r="D711" s="7"/>
    </row>
    <row r="712" ht="14.25" customHeight="1">
      <c r="C712" s="23"/>
      <c r="D712" s="7"/>
    </row>
    <row r="713" ht="14.25" customHeight="1">
      <c r="C713" s="23"/>
      <c r="D713" s="7"/>
    </row>
    <row r="714" ht="14.25" customHeight="1">
      <c r="C714" s="23"/>
      <c r="D714" s="7"/>
    </row>
    <row r="715" ht="14.25" customHeight="1">
      <c r="C715" s="23"/>
      <c r="D715" s="7"/>
    </row>
    <row r="716" ht="14.25" customHeight="1">
      <c r="C716" s="23"/>
      <c r="D716" s="7"/>
    </row>
    <row r="717" ht="14.25" customHeight="1">
      <c r="C717" s="23"/>
      <c r="D717" s="7"/>
    </row>
    <row r="718" ht="14.25" customHeight="1">
      <c r="C718" s="23"/>
      <c r="D718" s="7"/>
    </row>
    <row r="719" ht="14.25" customHeight="1">
      <c r="C719" s="23"/>
      <c r="D719" s="7"/>
    </row>
    <row r="720" ht="14.25" customHeight="1">
      <c r="C720" s="23"/>
      <c r="D720" s="7"/>
    </row>
    <row r="721" ht="14.25" customHeight="1">
      <c r="C721" s="23"/>
      <c r="D721" s="7"/>
    </row>
    <row r="722" ht="14.25" customHeight="1">
      <c r="C722" s="23"/>
      <c r="D722" s="7"/>
    </row>
    <row r="723" ht="14.25" customHeight="1">
      <c r="C723" s="23"/>
      <c r="D723" s="7"/>
    </row>
    <row r="724" ht="14.25" customHeight="1">
      <c r="C724" s="23"/>
      <c r="D724" s="7"/>
    </row>
    <row r="725" ht="14.25" customHeight="1">
      <c r="C725" s="23"/>
      <c r="D725" s="7"/>
    </row>
    <row r="726" ht="14.25" customHeight="1">
      <c r="C726" s="23"/>
      <c r="D726" s="7"/>
    </row>
    <row r="727" ht="14.25" customHeight="1">
      <c r="C727" s="23"/>
      <c r="D727" s="7"/>
    </row>
    <row r="728" ht="14.25" customHeight="1">
      <c r="C728" s="23"/>
      <c r="D728" s="7"/>
    </row>
    <row r="729" ht="14.25" customHeight="1">
      <c r="C729" s="23"/>
      <c r="D729" s="7"/>
    </row>
    <row r="730" ht="14.25" customHeight="1">
      <c r="C730" s="23"/>
      <c r="D730" s="7"/>
    </row>
    <row r="731" ht="14.25" customHeight="1">
      <c r="C731" s="23"/>
      <c r="D731" s="7"/>
    </row>
    <row r="732" ht="14.25" customHeight="1">
      <c r="C732" s="23"/>
      <c r="D732" s="7"/>
    </row>
    <row r="733" ht="14.25" customHeight="1">
      <c r="C733" s="23"/>
      <c r="D733" s="7"/>
    </row>
    <row r="734" ht="14.25" customHeight="1">
      <c r="C734" s="23"/>
      <c r="D734" s="7"/>
    </row>
    <row r="735" ht="14.25" customHeight="1">
      <c r="C735" s="23"/>
      <c r="D735" s="7"/>
    </row>
    <row r="736" ht="14.25" customHeight="1">
      <c r="C736" s="23"/>
      <c r="D736" s="7"/>
    </row>
    <row r="737" ht="14.25" customHeight="1">
      <c r="C737" s="23"/>
      <c r="D737" s="7"/>
    </row>
    <row r="738" ht="14.25" customHeight="1">
      <c r="C738" s="23"/>
      <c r="D738" s="7"/>
    </row>
    <row r="739" ht="14.25" customHeight="1">
      <c r="C739" s="23"/>
      <c r="D739" s="7"/>
    </row>
    <row r="740" ht="14.25" customHeight="1">
      <c r="C740" s="23"/>
      <c r="D740" s="7"/>
    </row>
    <row r="741" ht="14.25" customHeight="1">
      <c r="C741" s="23"/>
      <c r="D741" s="7"/>
    </row>
    <row r="742" ht="14.25" customHeight="1">
      <c r="C742" s="23"/>
      <c r="D742" s="7"/>
    </row>
    <row r="743" ht="14.25" customHeight="1">
      <c r="C743" s="23"/>
      <c r="D743" s="7"/>
    </row>
    <row r="744" ht="14.25" customHeight="1">
      <c r="C744" s="23"/>
      <c r="D744" s="7"/>
    </row>
    <row r="745" ht="14.25" customHeight="1">
      <c r="C745" s="23"/>
      <c r="D745" s="7"/>
    </row>
    <row r="746" ht="14.25" customHeight="1">
      <c r="C746" s="23"/>
      <c r="D746" s="7"/>
    </row>
    <row r="747" ht="14.25" customHeight="1">
      <c r="C747" s="23"/>
      <c r="D747" s="7"/>
    </row>
    <row r="748" ht="14.25" customHeight="1">
      <c r="C748" s="23"/>
      <c r="D748" s="7"/>
    </row>
    <row r="749" ht="14.25" customHeight="1">
      <c r="C749" s="23"/>
      <c r="D749" s="7"/>
    </row>
    <row r="750" ht="14.25" customHeight="1">
      <c r="C750" s="23"/>
      <c r="D750" s="7"/>
    </row>
    <row r="751" ht="14.25" customHeight="1">
      <c r="C751" s="23"/>
      <c r="D751" s="7"/>
    </row>
    <row r="752" ht="14.25" customHeight="1">
      <c r="C752" s="23"/>
      <c r="D752" s="7"/>
    </row>
    <row r="753" ht="14.25" customHeight="1">
      <c r="C753" s="23"/>
      <c r="D753" s="7"/>
    </row>
    <row r="754" ht="14.25" customHeight="1">
      <c r="C754" s="23"/>
      <c r="D754" s="7"/>
    </row>
    <row r="755" ht="14.25" customHeight="1">
      <c r="C755" s="23"/>
      <c r="D755" s="7"/>
    </row>
    <row r="756" ht="14.25" customHeight="1">
      <c r="C756" s="23"/>
      <c r="D756" s="7"/>
    </row>
    <row r="757" ht="14.25" customHeight="1">
      <c r="C757" s="23"/>
      <c r="D757" s="7"/>
    </row>
    <row r="758" ht="14.25" customHeight="1">
      <c r="C758" s="23"/>
      <c r="D758" s="7"/>
    </row>
    <row r="759" ht="14.25" customHeight="1">
      <c r="C759" s="23"/>
      <c r="D759" s="7"/>
    </row>
    <row r="760" ht="14.25" customHeight="1">
      <c r="C760" s="23"/>
      <c r="D760" s="7"/>
    </row>
    <row r="761" ht="14.25" customHeight="1">
      <c r="C761" s="23"/>
      <c r="D761" s="7"/>
    </row>
    <row r="762" ht="14.25" customHeight="1">
      <c r="C762" s="23"/>
      <c r="D762" s="7"/>
    </row>
    <row r="763" ht="14.25" customHeight="1">
      <c r="C763" s="23"/>
      <c r="D763" s="7"/>
    </row>
    <row r="764" ht="14.25" customHeight="1">
      <c r="C764" s="23"/>
      <c r="D764" s="7"/>
    </row>
    <row r="765" ht="14.25" customHeight="1">
      <c r="C765" s="23"/>
      <c r="D765" s="7"/>
    </row>
    <row r="766" ht="14.25" customHeight="1">
      <c r="C766" s="23"/>
      <c r="D766" s="7"/>
    </row>
    <row r="767" ht="14.25" customHeight="1">
      <c r="C767" s="23"/>
      <c r="D767" s="7"/>
    </row>
    <row r="768" ht="14.25" customHeight="1">
      <c r="C768" s="23"/>
      <c r="D768" s="7"/>
    </row>
    <row r="769" ht="14.25" customHeight="1">
      <c r="C769" s="23"/>
      <c r="D769" s="7"/>
    </row>
    <row r="770" ht="14.25" customHeight="1">
      <c r="C770" s="23"/>
      <c r="D770" s="7"/>
    </row>
    <row r="771" ht="14.25" customHeight="1">
      <c r="C771" s="23"/>
      <c r="D771" s="7"/>
    </row>
    <row r="772" ht="14.25" customHeight="1">
      <c r="C772" s="23"/>
      <c r="D772" s="7"/>
    </row>
    <row r="773" ht="14.25" customHeight="1">
      <c r="C773" s="23"/>
      <c r="D773" s="7"/>
    </row>
    <row r="774" ht="14.25" customHeight="1">
      <c r="C774" s="23"/>
      <c r="D774" s="7"/>
    </row>
    <row r="775" ht="14.25" customHeight="1">
      <c r="C775" s="23"/>
      <c r="D775" s="7"/>
    </row>
    <row r="776" ht="14.25" customHeight="1">
      <c r="C776" s="23"/>
      <c r="D776" s="7"/>
    </row>
    <row r="777" ht="14.25" customHeight="1">
      <c r="C777" s="23"/>
      <c r="D777" s="7"/>
    </row>
    <row r="778" ht="14.25" customHeight="1">
      <c r="C778" s="23"/>
      <c r="D778" s="7"/>
    </row>
    <row r="779" ht="14.25" customHeight="1">
      <c r="C779" s="23"/>
      <c r="D779" s="7"/>
    </row>
    <row r="780" ht="14.25" customHeight="1">
      <c r="C780" s="23"/>
      <c r="D780" s="7"/>
    </row>
    <row r="781" ht="14.25" customHeight="1">
      <c r="C781" s="23"/>
      <c r="D781" s="7"/>
    </row>
    <row r="782" ht="14.25" customHeight="1">
      <c r="C782" s="23"/>
      <c r="D782" s="7"/>
    </row>
    <row r="783" ht="14.25" customHeight="1">
      <c r="C783" s="23"/>
      <c r="D783" s="7"/>
    </row>
    <row r="784" ht="14.25" customHeight="1">
      <c r="C784" s="23"/>
      <c r="D784" s="7"/>
    </row>
    <row r="785" ht="14.25" customHeight="1">
      <c r="C785" s="23"/>
      <c r="D785" s="7"/>
    </row>
    <row r="786" ht="14.25" customHeight="1">
      <c r="C786" s="23"/>
      <c r="D786" s="7"/>
    </row>
    <row r="787" ht="14.25" customHeight="1">
      <c r="C787" s="23"/>
      <c r="D787" s="7"/>
    </row>
    <row r="788" ht="14.25" customHeight="1">
      <c r="C788" s="23"/>
      <c r="D788" s="7"/>
    </row>
    <row r="789" ht="14.25" customHeight="1">
      <c r="C789" s="23"/>
      <c r="D789" s="7"/>
    </row>
    <row r="790" ht="14.25" customHeight="1">
      <c r="C790" s="23"/>
      <c r="D790" s="7"/>
    </row>
    <row r="791" ht="14.25" customHeight="1">
      <c r="C791" s="23"/>
      <c r="D791" s="7"/>
    </row>
    <row r="792" ht="14.25" customHeight="1">
      <c r="C792" s="23"/>
      <c r="D792" s="7"/>
    </row>
    <row r="793" ht="14.25" customHeight="1">
      <c r="C793" s="23"/>
      <c r="D793" s="7"/>
    </row>
    <row r="794" ht="14.25" customHeight="1">
      <c r="C794" s="23"/>
      <c r="D794" s="7"/>
    </row>
    <row r="795" ht="14.25" customHeight="1">
      <c r="C795" s="23"/>
      <c r="D795" s="7"/>
    </row>
    <row r="796" ht="14.25" customHeight="1">
      <c r="C796" s="23"/>
      <c r="D796" s="7"/>
    </row>
    <row r="797" ht="14.25" customHeight="1">
      <c r="C797" s="23"/>
      <c r="D797" s="7"/>
    </row>
    <row r="798" ht="14.25" customHeight="1">
      <c r="C798" s="23"/>
      <c r="D798" s="7"/>
    </row>
    <row r="799" ht="14.25" customHeight="1">
      <c r="C799" s="23"/>
      <c r="D799" s="7"/>
    </row>
    <row r="800" ht="14.25" customHeight="1">
      <c r="C800" s="23"/>
      <c r="D800" s="7"/>
    </row>
    <row r="801" ht="14.25" customHeight="1">
      <c r="C801" s="23"/>
      <c r="D801" s="7"/>
    </row>
    <row r="802" ht="14.25" customHeight="1">
      <c r="C802" s="23"/>
      <c r="D802" s="7"/>
    </row>
    <row r="803" ht="14.25" customHeight="1">
      <c r="C803" s="23"/>
      <c r="D803" s="7"/>
    </row>
    <row r="804" ht="14.25" customHeight="1">
      <c r="C804" s="23"/>
      <c r="D804" s="7"/>
    </row>
    <row r="805" ht="14.25" customHeight="1">
      <c r="C805" s="23"/>
      <c r="D805" s="7"/>
    </row>
    <row r="806" ht="14.25" customHeight="1">
      <c r="C806" s="23"/>
      <c r="D806" s="7"/>
    </row>
    <row r="807" ht="14.25" customHeight="1">
      <c r="C807" s="23"/>
      <c r="D807" s="7"/>
    </row>
    <row r="808" ht="14.25" customHeight="1">
      <c r="C808" s="23"/>
      <c r="D808" s="7"/>
    </row>
    <row r="809" ht="14.25" customHeight="1">
      <c r="C809" s="23"/>
      <c r="D809" s="7"/>
    </row>
    <row r="810" ht="14.25" customHeight="1">
      <c r="C810" s="23"/>
      <c r="D810" s="7"/>
    </row>
    <row r="811" ht="14.25" customHeight="1">
      <c r="C811" s="23"/>
      <c r="D811" s="7"/>
    </row>
    <row r="812" ht="14.25" customHeight="1">
      <c r="C812" s="23"/>
      <c r="D812" s="7"/>
    </row>
    <row r="813" ht="14.25" customHeight="1">
      <c r="C813" s="23"/>
      <c r="D813" s="7"/>
    </row>
    <row r="814" ht="14.25" customHeight="1">
      <c r="C814" s="23"/>
      <c r="D814" s="7"/>
    </row>
    <row r="815" ht="14.25" customHeight="1">
      <c r="C815" s="23"/>
      <c r="D815" s="7"/>
    </row>
    <row r="816" ht="14.25" customHeight="1">
      <c r="C816" s="23"/>
      <c r="D816" s="7"/>
    </row>
    <row r="817" ht="14.25" customHeight="1">
      <c r="C817" s="23"/>
      <c r="D817" s="7"/>
    </row>
    <row r="818" ht="14.25" customHeight="1">
      <c r="C818" s="23"/>
      <c r="D818" s="7"/>
    </row>
    <row r="819" ht="14.25" customHeight="1">
      <c r="C819" s="23"/>
      <c r="D819" s="7"/>
    </row>
    <row r="820" ht="14.25" customHeight="1">
      <c r="C820" s="23"/>
      <c r="D820" s="7"/>
    </row>
    <row r="821" ht="14.25" customHeight="1">
      <c r="C821" s="23"/>
      <c r="D821" s="7"/>
    </row>
    <row r="822" ht="14.25" customHeight="1">
      <c r="C822" s="23"/>
      <c r="D822" s="7"/>
    </row>
    <row r="823" ht="14.25" customHeight="1">
      <c r="C823" s="23"/>
      <c r="D823" s="7"/>
    </row>
    <row r="824" ht="14.25" customHeight="1">
      <c r="C824" s="23"/>
      <c r="D824" s="7"/>
    </row>
    <row r="825" ht="14.25" customHeight="1">
      <c r="C825" s="23"/>
      <c r="D825" s="7"/>
    </row>
    <row r="826" ht="14.25" customHeight="1">
      <c r="C826" s="23"/>
      <c r="D826" s="7"/>
    </row>
    <row r="827" ht="14.25" customHeight="1">
      <c r="C827" s="23"/>
      <c r="D827" s="7"/>
    </row>
    <row r="828" ht="14.25" customHeight="1">
      <c r="C828" s="23"/>
      <c r="D828" s="7"/>
    </row>
    <row r="829" ht="14.25" customHeight="1">
      <c r="C829" s="23"/>
      <c r="D829" s="7"/>
    </row>
    <row r="830" ht="14.25" customHeight="1">
      <c r="C830" s="23"/>
      <c r="D830" s="7"/>
    </row>
    <row r="831" ht="14.25" customHeight="1">
      <c r="C831" s="23"/>
      <c r="D831" s="7"/>
    </row>
    <row r="832" ht="14.25" customHeight="1">
      <c r="C832" s="23"/>
      <c r="D832" s="7"/>
    </row>
    <row r="833" ht="14.25" customHeight="1">
      <c r="C833" s="23"/>
      <c r="D833" s="7"/>
    </row>
    <row r="834" ht="14.25" customHeight="1">
      <c r="C834" s="23"/>
      <c r="D834" s="7"/>
    </row>
    <row r="835" ht="14.25" customHeight="1">
      <c r="C835" s="23"/>
      <c r="D835" s="7"/>
    </row>
    <row r="836" ht="14.25" customHeight="1">
      <c r="C836" s="23"/>
      <c r="D836" s="7"/>
    </row>
    <row r="837" ht="14.25" customHeight="1">
      <c r="C837" s="23"/>
      <c r="D837" s="7"/>
    </row>
    <row r="838" ht="14.25" customHeight="1">
      <c r="C838" s="23"/>
      <c r="D838" s="7"/>
    </row>
    <row r="839" ht="14.25" customHeight="1">
      <c r="C839" s="23"/>
      <c r="D839" s="7"/>
    </row>
    <row r="840" ht="14.25" customHeight="1">
      <c r="C840" s="23"/>
      <c r="D840" s="7"/>
    </row>
    <row r="841" ht="14.25" customHeight="1">
      <c r="C841" s="23"/>
      <c r="D841" s="7"/>
    </row>
    <row r="842" ht="14.25" customHeight="1">
      <c r="C842" s="23"/>
      <c r="D842" s="7"/>
    </row>
    <row r="843" ht="14.25" customHeight="1">
      <c r="C843" s="23"/>
      <c r="D843" s="7"/>
    </row>
    <row r="844" ht="14.25" customHeight="1">
      <c r="C844" s="23"/>
      <c r="D844" s="7"/>
    </row>
    <row r="845" ht="14.25" customHeight="1">
      <c r="C845" s="23"/>
      <c r="D845" s="7"/>
    </row>
    <row r="846" ht="14.25" customHeight="1">
      <c r="C846" s="23"/>
      <c r="D846" s="7"/>
    </row>
    <row r="847" ht="14.25" customHeight="1">
      <c r="C847" s="23"/>
      <c r="D847" s="7"/>
    </row>
    <row r="848" ht="14.25" customHeight="1">
      <c r="C848" s="23"/>
      <c r="D848" s="7"/>
    </row>
    <row r="849" ht="14.25" customHeight="1">
      <c r="C849" s="23"/>
      <c r="D849" s="7"/>
    </row>
    <row r="850" ht="14.25" customHeight="1">
      <c r="C850" s="23"/>
      <c r="D850" s="7"/>
    </row>
    <row r="851" ht="14.25" customHeight="1">
      <c r="C851" s="23"/>
      <c r="D851" s="7"/>
    </row>
    <row r="852" ht="14.25" customHeight="1">
      <c r="C852" s="23"/>
      <c r="D852" s="7"/>
    </row>
    <row r="853" ht="14.25" customHeight="1">
      <c r="C853" s="23"/>
      <c r="D853" s="7"/>
    </row>
    <row r="854" ht="14.25" customHeight="1">
      <c r="C854" s="23"/>
      <c r="D854" s="7"/>
    </row>
    <row r="855" ht="14.25" customHeight="1">
      <c r="C855" s="23"/>
      <c r="D855" s="7"/>
    </row>
    <row r="856" ht="14.25" customHeight="1">
      <c r="C856" s="23"/>
      <c r="D856" s="7"/>
    </row>
    <row r="857" ht="14.25" customHeight="1">
      <c r="C857" s="23"/>
      <c r="D857" s="7"/>
    </row>
    <row r="858" ht="14.25" customHeight="1">
      <c r="C858" s="23"/>
      <c r="D858" s="7"/>
    </row>
    <row r="859" ht="14.25" customHeight="1">
      <c r="C859" s="23"/>
      <c r="D859" s="7"/>
    </row>
    <row r="860" ht="14.25" customHeight="1">
      <c r="C860" s="23"/>
      <c r="D860" s="7"/>
    </row>
    <row r="861" ht="14.25" customHeight="1">
      <c r="C861" s="23"/>
      <c r="D861" s="7"/>
    </row>
    <row r="862" ht="14.25" customHeight="1">
      <c r="C862" s="23"/>
      <c r="D862" s="7"/>
    </row>
    <row r="863" ht="14.25" customHeight="1">
      <c r="C863" s="23"/>
      <c r="D863" s="7"/>
    </row>
    <row r="864" ht="14.25" customHeight="1">
      <c r="C864" s="23"/>
      <c r="D864" s="7"/>
    </row>
    <row r="865" ht="14.25" customHeight="1">
      <c r="C865" s="23"/>
      <c r="D865" s="7"/>
    </row>
    <row r="866" ht="14.25" customHeight="1">
      <c r="C866" s="23"/>
      <c r="D866" s="7"/>
    </row>
    <row r="867" ht="14.25" customHeight="1">
      <c r="C867" s="23"/>
      <c r="D867" s="7"/>
    </row>
    <row r="868" ht="14.25" customHeight="1">
      <c r="C868" s="23"/>
      <c r="D868" s="7"/>
    </row>
    <row r="869" ht="14.25" customHeight="1">
      <c r="C869" s="23"/>
      <c r="D869" s="7"/>
    </row>
    <row r="870" ht="14.25" customHeight="1">
      <c r="C870" s="23"/>
      <c r="D870" s="7"/>
    </row>
    <row r="871" ht="14.25" customHeight="1">
      <c r="C871" s="23"/>
      <c r="D871" s="7"/>
    </row>
    <row r="872" ht="14.25" customHeight="1">
      <c r="C872" s="23"/>
      <c r="D872" s="7"/>
    </row>
    <row r="873" ht="14.25" customHeight="1">
      <c r="C873" s="23"/>
      <c r="D873" s="7"/>
    </row>
    <row r="874" ht="14.25" customHeight="1">
      <c r="C874" s="23"/>
      <c r="D874" s="7"/>
    </row>
    <row r="875" ht="14.25" customHeight="1">
      <c r="C875" s="23"/>
      <c r="D875" s="7"/>
    </row>
    <row r="876" ht="14.25" customHeight="1">
      <c r="C876" s="23"/>
      <c r="D876" s="7"/>
    </row>
    <row r="877" ht="14.25" customHeight="1">
      <c r="C877" s="23"/>
      <c r="D877" s="7"/>
    </row>
    <row r="878" ht="14.25" customHeight="1">
      <c r="C878" s="23"/>
      <c r="D878" s="7"/>
    </row>
    <row r="879" ht="14.25" customHeight="1">
      <c r="C879" s="23"/>
      <c r="D879" s="7"/>
    </row>
    <row r="880" ht="14.25" customHeight="1">
      <c r="C880" s="23"/>
      <c r="D880" s="7"/>
    </row>
    <row r="881" ht="14.25" customHeight="1">
      <c r="C881" s="23"/>
      <c r="D881" s="7"/>
    </row>
    <row r="882" ht="14.25" customHeight="1">
      <c r="C882" s="23"/>
      <c r="D882" s="7"/>
    </row>
    <row r="883" ht="14.25" customHeight="1">
      <c r="C883" s="23"/>
      <c r="D883" s="7"/>
    </row>
    <row r="884" ht="14.25" customHeight="1">
      <c r="C884" s="23"/>
      <c r="D884" s="7"/>
    </row>
    <row r="885" ht="14.25" customHeight="1">
      <c r="C885" s="23"/>
      <c r="D885" s="7"/>
    </row>
    <row r="886" ht="14.25" customHeight="1">
      <c r="C886" s="23"/>
      <c r="D886" s="7"/>
    </row>
    <row r="887" ht="14.25" customHeight="1">
      <c r="C887" s="23"/>
      <c r="D887" s="7"/>
    </row>
    <row r="888" ht="14.25" customHeight="1">
      <c r="C888" s="23"/>
      <c r="D888" s="7"/>
    </row>
    <row r="889" ht="14.25" customHeight="1">
      <c r="C889" s="23"/>
      <c r="D889" s="7"/>
    </row>
    <row r="890" ht="14.25" customHeight="1">
      <c r="C890" s="23"/>
      <c r="D890" s="7"/>
    </row>
    <row r="891" ht="14.25" customHeight="1">
      <c r="C891" s="23"/>
      <c r="D891" s="7"/>
    </row>
    <row r="892" ht="14.25" customHeight="1">
      <c r="C892" s="23"/>
      <c r="D892" s="7"/>
    </row>
    <row r="893" ht="14.25" customHeight="1">
      <c r="C893" s="23"/>
      <c r="D893" s="7"/>
    </row>
    <row r="894" ht="14.25" customHeight="1">
      <c r="C894" s="23"/>
      <c r="D894" s="7"/>
    </row>
    <row r="895" ht="14.25" customHeight="1">
      <c r="C895" s="23"/>
      <c r="D895" s="7"/>
    </row>
    <row r="896" ht="14.25" customHeight="1">
      <c r="C896" s="23"/>
      <c r="D896" s="7"/>
    </row>
    <row r="897" ht="14.25" customHeight="1">
      <c r="C897" s="23"/>
      <c r="D897" s="7"/>
    </row>
    <row r="898" ht="14.25" customHeight="1">
      <c r="C898" s="23"/>
      <c r="D898" s="7"/>
    </row>
    <row r="899" ht="14.25" customHeight="1">
      <c r="C899" s="23"/>
      <c r="D899" s="7"/>
    </row>
    <row r="900" ht="14.25" customHeight="1">
      <c r="C900" s="23"/>
      <c r="D900" s="7"/>
    </row>
    <row r="901" ht="14.25" customHeight="1">
      <c r="C901" s="23"/>
      <c r="D901" s="7"/>
    </row>
    <row r="902" ht="14.25" customHeight="1">
      <c r="C902" s="23"/>
      <c r="D902" s="7"/>
    </row>
    <row r="903" ht="14.25" customHeight="1">
      <c r="C903" s="23"/>
      <c r="D903" s="7"/>
    </row>
    <row r="904" ht="14.25" customHeight="1">
      <c r="C904" s="23"/>
      <c r="D904" s="7"/>
    </row>
    <row r="905" ht="14.25" customHeight="1">
      <c r="C905" s="23"/>
      <c r="D905" s="7"/>
    </row>
    <row r="906" ht="14.25" customHeight="1">
      <c r="C906" s="23"/>
      <c r="D906" s="7"/>
    </row>
    <row r="907" ht="14.25" customHeight="1">
      <c r="C907" s="23"/>
      <c r="D907" s="7"/>
    </row>
    <row r="908" ht="14.25" customHeight="1">
      <c r="C908" s="23"/>
      <c r="D908" s="7"/>
    </row>
    <row r="909" ht="14.25" customHeight="1">
      <c r="C909" s="23"/>
      <c r="D909" s="7"/>
    </row>
    <row r="910" ht="14.25" customHeight="1">
      <c r="C910" s="23"/>
      <c r="D910" s="7"/>
    </row>
    <row r="911" ht="14.25" customHeight="1">
      <c r="C911" s="23"/>
      <c r="D911" s="7"/>
    </row>
    <row r="912" ht="14.25" customHeight="1">
      <c r="C912" s="23"/>
      <c r="D912" s="7"/>
    </row>
    <row r="913" ht="14.25" customHeight="1">
      <c r="C913" s="23"/>
      <c r="D913" s="7"/>
    </row>
    <row r="914" ht="14.25" customHeight="1">
      <c r="C914" s="23"/>
      <c r="D914" s="7"/>
    </row>
    <row r="915" ht="14.25" customHeight="1">
      <c r="C915" s="23"/>
      <c r="D915" s="7"/>
    </row>
    <row r="916" ht="14.25" customHeight="1">
      <c r="C916" s="23"/>
      <c r="D916" s="7"/>
    </row>
    <row r="917" ht="14.25" customHeight="1">
      <c r="C917" s="23"/>
      <c r="D917" s="7"/>
    </row>
    <row r="918" ht="14.25" customHeight="1">
      <c r="C918" s="23"/>
      <c r="D918" s="7"/>
    </row>
    <row r="919" ht="14.25" customHeight="1">
      <c r="C919" s="23"/>
      <c r="D919" s="7"/>
    </row>
    <row r="920" ht="14.25" customHeight="1">
      <c r="C920" s="23"/>
      <c r="D920" s="7"/>
    </row>
    <row r="921" ht="14.25" customHeight="1">
      <c r="C921" s="23"/>
      <c r="D921" s="7"/>
    </row>
    <row r="922" ht="14.25" customHeight="1">
      <c r="C922" s="23"/>
      <c r="D922" s="7"/>
    </row>
    <row r="923" ht="14.25" customHeight="1">
      <c r="C923" s="23"/>
      <c r="D923" s="7"/>
    </row>
    <row r="924" ht="14.25" customHeight="1">
      <c r="C924" s="23"/>
      <c r="D924" s="7"/>
    </row>
    <row r="925" ht="14.25" customHeight="1">
      <c r="C925" s="23"/>
      <c r="D925" s="7"/>
    </row>
    <row r="926" ht="14.25" customHeight="1">
      <c r="C926" s="23"/>
      <c r="D926" s="7"/>
    </row>
    <row r="927" ht="14.25" customHeight="1">
      <c r="C927" s="23"/>
      <c r="D927" s="7"/>
    </row>
    <row r="928" ht="14.25" customHeight="1">
      <c r="C928" s="23"/>
      <c r="D928" s="7"/>
    </row>
    <row r="929" ht="14.25" customHeight="1">
      <c r="C929" s="23"/>
      <c r="D929" s="7"/>
    </row>
    <row r="930" ht="14.25" customHeight="1">
      <c r="C930" s="23"/>
      <c r="D930" s="7"/>
    </row>
    <row r="931" ht="14.25" customHeight="1">
      <c r="C931" s="23"/>
      <c r="D931" s="7"/>
    </row>
    <row r="932" ht="14.25" customHeight="1">
      <c r="C932" s="23"/>
      <c r="D932" s="7"/>
    </row>
    <row r="933" ht="14.25" customHeight="1">
      <c r="C933" s="23"/>
      <c r="D933" s="7"/>
    </row>
    <row r="934" ht="14.25" customHeight="1">
      <c r="C934" s="23"/>
      <c r="D934" s="7"/>
    </row>
    <row r="935" ht="14.25" customHeight="1">
      <c r="C935" s="23"/>
      <c r="D935" s="7"/>
    </row>
    <row r="936" ht="14.25" customHeight="1">
      <c r="C936" s="23"/>
      <c r="D936" s="7"/>
    </row>
    <row r="937" ht="14.25" customHeight="1">
      <c r="C937" s="23"/>
      <c r="D937" s="7"/>
    </row>
    <row r="938" ht="14.25" customHeight="1">
      <c r="C938" s="23"/>
      <c r="D938" s="7"/>
    </row>
    <row r="939" ht="14.25" customHeight="1">
      <c r="C939" s="23"/>
      <c r="D939" s="7"/>
    </row>
    <row r="940" ht="14.25" customHeight="1">
      <c r="C940" s="23"/>
      <c r="D940" s="7"/>
    </row>
    <row r="941" ht="14.25" customHeight="1">
      <c r="C941" s="23"/>
      <c r="D941" s="7"/>
    </row>
    <row r="942" ht="14.25" customHeight="1">
      <c r="C942" s="23"/>
      <c r="D942" s="7"/>
    </row>
    <row r="943" ht="14.25" customHeight="1">
      <c r="C943" s="23"/>
      <c r="D943" s="7"/>
    </row>
    <row r="944" ht="14.25" customHeight="1">
      <c r="C944" s="23"/>
      <c r="D944" s="7"/>
    </row>
    <row r="945" ht="14.25" customHeight="1">
      <c r="C945" s="23"/>
      <c r="D945" s="7"/>
    </row>
    <row r="946" ht="14.25" customHeight="1">
      <c r="C946" s="23"/>
      <c r="D946" s="7"/>
    </row>
    <row r="947" ht="14.25" customHeight="1">
      <c r="C947" s="23"/>
      <c r="D947" s="7"/>
    </row>
    <row r="948" ht="14.25" customHeight="1">
      <c r="C948" s="23"/>
      <c r="D948" s="7"/>
    </row>
    <row r="949" ht="14.25" customHeight="1">
      <c r="C949" s="23"/>
      <c r="D949" s="7"/>
    </row>
    <row r="950" ht="14.25" customHeight="1">
      <c r="C950" s="23"/>
      <c r="D950" s="7"/>
    </row>
    <row r="951" ht="14.25" customHeight="1">
      <c r="C951" s="23"/>
      <c r="D951" s="7"/>
    </row>
    <row r="952" ht="14.25" customHeight="1">
      <c r="C952" s="23"/>
      <c r="D952" s="7"/>
    </row>
    <row r="953" ht="14.25" customHeight="1">
      <c r="C953" s="23"/>
      <c r="D953" s="7"/>
    </row>
    <row r="954" ht="14.25" customHeight="1">
      <c r="C954" s="23"/>
      <c r="D954" s="7"/>
    </row>
    <row r="955" ht="14.25" customHeight="1">
      <c r="C955" s="23"/>
      <c r="D955" s="7"/>
    </row>
    <row r="956" ht="14.25" customHeight="1">
      <c r="C956" s="23"/>
      <c r="D956" s="7"/>
    </row>
    <row r="957" ht="14.25" customHeight="1">
      <c r="C957" s="23"/>
      <c r="D957" s="7"/>
    </row>
    <row r="958" ht="14.25" customHeight="1">
      <c r="C958" s="23"/>
      <c r="D958" s="7"/>
    </row>
    <row r="959" ht="14.25" customHeight="1">
      <c r="C959" s="23"/>
      <c r="D959" s="7"/>
    </row>
    <row r="960" ht="14.25" customHeight="1">
      <c r="C960" s="23"/>
      <c r="D960" s="7"/>
    </row>
    <row r="961" ht="14.25" customHeight="1">
      <c r="C961" s="23"/>
      <c r="D961" s="7"/>
    </row>
    <row r="962" ht="14.25" customHeight="1">
      <c r="C962" s="23"/>
      <c r="D962" s="7"/>
    </row>
    <row r="963" ht="14.25" customHeight="1">
      <c r="C963" s="23"/>
      <c r="D963" s="7"/>
    </row>
    <row r="964" ht="14.25" customHeight="1">
      <c r="C964" s="23"/>
      <c r="D964" s="7"/>
    </row>
    <row r="965" ht="14.25" customHeight="1">
      <c r="C965" s="23"/>
      <c r="D965" s="7"/>
    </row>
    <row r="966" ht="14.25" customHeight="1">
      <c r="C966" s="23"/>
      <c r="D966" s="7"/>
    </row>
    <row r="967" ht="14.25" customHeight="1">
      <c r="C967" s="23"/>
      <c r="D967" s="7"/>
    </row>
    <row r="968" ht="14.25" customHeight="1">
      <c r="C968" s="23"/>
      <c r="D968" s="7"/>
    </row>
    <row r="969" ht="14.25" customHeight="1">
      <c r="C969" s="23"/>
      <c r="D969" s="7"/>
    </row>
    <row r="970" ht="14.25" customHeight="1">
      <c r="C970" s="23"/>
      <c r="D970" s="7"/>
    </row>
    <row r="971" ht="14.25" customHeight="1">
      <c r="C971" s="23"/>
      <c r="D971" s="7"/>
    </row>
    <row r="972" ht="14.25" customHeight="1">
      <c r="C972" s="23"/>
      <c r="D972" s="7"/>
    </row>
    <row r="973" ht="14.25" customHeight="1">
      <c r="C973" s="23"/>
      <c r="D973" s="7"/>
    </row>
    <row r="974" ht="14.25" customHeight="1">
      <c r="C974" s="23"/>
      <c r="D974" s="7"/>
    </row>
    <row r="975" ht="14.25" customHeight="1">
      <c r="C975" s="23"/>
      <c r="D975" s="7"/>
    </row>
    <row r="976" ht="14.25" customHeight="1">
      <c r="C976" s="23"/>
      <c r="D976" s="7"/>
    </row>
    <row r="977" ht="14.25" customHeight="1">
      <c r="C977" s="23"/>
      <c r="D977" s="7"/>
    </row>
    <row r="978" ht="14.25" customHeight="1">
      <c r="C978" s="23"/>
      <c r="D978" s="7"/>
    </row>
    <row r="979" ht="14.25" customHeight="1">
      <c r="C979" s="23"/>
      <c r="D979" s="7"/>
    </row>
    <row r="980" ht="14.25" customHeight="1">
      <c r="C980" s="23"/>
      <c r="D980" s="7"/>
    </row>
    <row r="981" ht="14.25" customHeight="1">
      <c r="C981" s="23"/>
      <c r="D981" s="7"/>
    </row>
    <row r="982" ht="14.25" customHeight="1">
      <c r="C982" s="23"/>
      <c r="D982" s="7"/>
    </row>
    <row r="983" ht="14.25" customHeight="1">
      <c r="C983" s="23"/>
      <c r="D983" s="7"/>
    </row>
    <row r="984" ht="14.25" customHeight="1">
      <c r="C984" s="23"/>
      <c r="D984" s="7"/>
    </row>
    <row r="985" ht="14.25" customHeight="1">
      <c r="C985" s="23"/>
      <c r="D985" s="7"/>
    </row>
    <row r="986" ht="14.25" customHeight="1">
      <c r="C986" s="23"/>
      <c r="D986" s="7"/>
    </row>
    <row r="987" ht="14.25" customHeight="1">
      <c r="C987" s="23"/>
      <c r="D987" s="7"/>
    </row>
    <row r="988" ht="14.25" customHeight="1">
      <c r="C988" s="23"/>
      <c r="D988" s="7"/>
    </row>
    <row r="989" ht="14.25" customHeight="1">
      <c r="C989" s="23"/>
      <c r="D989" s="7"/>
    </row>
    <row r="990" ht="14.25" customHeight="1">
      <c r="C990" s="23"/>
      <c r="D990" s="7"/>
    </row>
    <row r="991" ht="14.25" customHeight="1">
      <c r="C991" s="23"/>
      <c r="D991" s="7"/>
    </row>
    <row r="992" ht="14.25" customHeight="1">
      <c r="C992" s="23"/>
      <c r="D992" s="7"/>
    </row>
    <row r="993" ht="14.25" customHeight="1">
      <c r="C993" s="23"/>
      <c r="D993" s="7"/>
    </row>
    <row r="994" ht="14.25" customHeight="1">
      <c r="C994" s="23"/>
      <c r="D994" s="7"/>
    </row>
    <row r="995" ht="14.25" customHeight="1">
      <c r="C995" s="23"/>
      <c r="D995" s="7"/>
    </row>
    <row r="996" ht="14.25" customHeight="1">
      <c r="C996" s="23"/>
      <c r="D996" s="7"/>
    </row>
    <row r="997" ht="14.25" customHeight="1">
      <c r="C997" s="23"/>
      <c r="D997" s="7"/>
    </row>
    <row r="998" ht="14.25" customHeight="1">
      <c r="C998" s="23"/>
      <c r="D998" s="7"/>
    </row>
    <row r="999" ht="14.25" customHeight="1">
      <c r="C999" s="23"/>
      <c r="D999" s="7"/>
    </row>
    <row r="1000" ht="14.25" customHeight="1">
      <c r="C1000" s="23"/>
      <c r="D1000" s="7"/>
    </row>
  </sheetData>
  <dataValidations>
    <dataValidation type="list" allowBlank="1" showErrorMessage="1" sqref="A2:A54">
      <formula1>MACROZONAS!$B$2:$B$8</formula1>
    </dataValidation>
    <dataValidation type="list" allowBlank="1" showErrorMessage="1" sqref="B2:B54">
      <formula1>SETORES!$B$2:$B$18</formula1>
    </dataValidation>
  </dataValidations>
  <printOptions/>
  <pageMargins bottom="0.787401575" footer="0.0" header="0.0" left="0.511811024" right="0.511811024" top="0.787401575"/>
  <pageSetup orientation="landscape"/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1E4F5"/>
    <pageSetUpPr/>
  </sheetPr>
  <sheetViews>
    <sheetView workbookViewId="0"/>
  </sheetViews>
  <sheetFormatPr customHeight="1" defaultColWidth="12.63" defaultRowHeight="15.0"/>
  <cols>
    <col customWidth="1" min="1" max="26" width="26.5"/>
  </cols>
  <sheetData>
    <row r="1" ht="14.25" customHeight="1">
      <c r="A1" s="24" t="s">
        <v>46</v>
      </c>
      <c r="B1" s="24" t="s">
        <v>47</v>
      </c>
      <c r="C1" s="24" t="s">
        <v>3</v>
      </c>
      <c r="D1" s="24" t="s">
        <v>158</v>
      </c>
      <c r="E1" s="24" t="s">
        <v>159</v>
      </c>
      <c r="F1" s="24" t="s">
        <v>160</v>
      </c>
      <c r="G1" s="24" t="s">
        <v>127</v>
      </c>
      <c r="H1" s="24" t="s">
        <v>164</v>
      </c>
      <c r="I1" s="24" t="s">
        <v>165</v>
      </c>
      <c r="J1" s="24" t="s">
        <v>166</v>
      </c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4.25" customHeight="1">
      <c r="A2" s="17" t="s">
        <v>33</v>
      </c>
      <c r="B2" s="17" t="s">
        <v>12</v>
      </c>
      <c r="C2" s="16">
        <v>45.0</v>
      </c>
      <c r="D2" s="17">
        <v>17.0</v>
      </c>
      <c r="E2" s="17"/>
      <c r="F2" s="17">
        <v>14.0</v>
      </c>
      <c r="G2" s="17" t="s">
        <v>130</v>
      </c>
      <c r="H2" s="17">
        <v>1.0</v>
      </c>
      <c r="I2" s="17">
        <f t="array" ref="I2">XLOOKUP(GABARITO!$A2,MACROZONAS!B:B,MACROZONAS!A:A)</f>
        <v>1</v>
      </c>
      <c r="J2" s="17">
        <f t="array" ref="J2">XLOOKUP(GABARITO!$B2,SETORES!B:B,SETORES!A:A)</f>
        <v>1</v>
      </c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4.25" customHeight="1">
      <c r="A3" s="17" t="s">
        <v>33</v>
      </c>
      <c r="B3" s="17" t="s">
        <v>34</v>
      </c>
      <c r="C3" s="16">
        <v>24.0</v>
      </c>
      <c r="D3" s="17">
        <v>17.0</v>
      </c>
      <c r="E3" s="17"/>
      <c r="F3" s="17">
        <v>14.0</v>
      </c>
      <c r="G3" s="17" t="s">
        <v>130</v>
      </c>
      <c r="H3" s="17">
        <v>2.0</v>
      </c>
      <c r="I3" s="17">
        <f t="array" ref="I3">XLOOKUP(GABARITO!$A3,MACROZONAS!B:B,MACROZONAS!A:A)</f>
        <v>1</v>
      </c>
      <c r="J3" s="17">
        <f t="array" ref="J3">XLOOKUP(GABARITO!$B3,SETORES!B:B,SETORES!A:A)</f>
        <v>2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4.25" customHeight="1">
      <c r="A4" s="17" t="s">
        <v>28</v>
      </c>
      <c r="B4" s="17" t="s">
        <v>41</v>
      </c>
      <c r="C4" s="16">
        <v>15.0</v>
      </c>
      <c r="D4" s="17"/>
      <c r="E4" s="17"/>
      <c r="F4" s="17">
        <v>14.0</v>
      </c>
      <c r="G4" s="17" t="s">
        <v>130</v>
      </c>
      <c r="H4" s="17">
        <v>3.0</v>
      </c>
      <c r="I4" s="17">
        <f t="array" ref="I4">XLOOKUP(GABARITO!$A4,MACROZONAS!B:B,MACROZONAS!A:A)</f>
        <v>2</v>
      </c>
      <c r="J4" s="17">
        <f t="array" ref="J4">XLOOKUP(GABARITO!$B4,SETORES!B:B,SETORES!A:A)</f>
        <v>3</v>
      </c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4.25" customHeight="1">
      <c r="A5" s="17" t="s">
        <v>28</v>
      </c>
      <c r="B5" s="17" t="s">
        <v>25</v>
      </c>
      <c r="C5" s="16">
        <v>15.0</v>
      </c>
      <c r="D5" s="17"/>
      <c r="E5" s="17"/>
      <c r="F5" s="17">
        <v>14.0</v>
      </c>
      <c r="G5" s="17" t="s">
        <v>130</v>
      </c>
      <c r="H5" s="17">
        <v>4.0</v>
      </c>
      <c r="I5" s="17">
        <f t="array" ref="I5">XLOOKUP(GABARITO!$A5,MACROZONAS!B:B,MACROZONAS!A:A)</f>
        <v>2</v>
      </c>
      <c r="J5" s="17">
        <f t="array" ref="J5">XLOOKUP(GABARITO!$B5,SETORES!B:B,SETORES!A:A)</f>
        <v>4</v>
      </c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4.25" customHeight="1">
      <c r="A6" s="17" t="s">
        <v>28</v>
      </c>
      <c r="B6" s="17" t="s">
        <v>17</v>
      </c>
      <c r="C6" s="16">
        <v>15.0</v>
      </c>
      <c r="D6" s="17"/>
      <c r="E6" s="17"/>
      <c r="F6" s="17">
        <v>14.0</v>
      </c>
      <c r="G6" s="17" t="s">
        <v>130</v>
      </c>
      <c r="H6" s="17">
        <v>5.0</v>
      </c>
      <c r="I6" s="17">
        <f t="array" ref="I6">XLOOKUP(GABARITO!$A6,MACROZONAS!B:B,MACROZONAS!A:A)</f>
        <v>2</v>
      </c>
      <c r="J6" s="17">
        <f t="array" ref="J6">XLOOKUP(GABARITO!$B6,SETORES!B:B,SETORES!A:A)</f>
        <v>5</v>
      </c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4.25" customHeight="1">
      <c r="A7" s="17" t="s">
        <v>28</v>
      </c>
      <c r="B7" s="17" t="s">
        <v>121</v>
      </c>
      <c r="C7" s="16">
        <v>15.0</v>
      </c>
      <c r="D7" s="17"/>
      <c r="E7" s="17"/>
      <c r="F7" s="17">
        <v>14.0</v>
      </c>
      <c r="G7" s="17" t="s">
        <v>130</v>
      </c>
      <c r="H7" s="17">
        <v>6.0</v>
      </c>
      <c r="I7" s="17">
        <f t="array" ref="I7">XLOOKUP(GABARITO!$A7,MACROZONAS!B:B,MACROZONAS!A:A)</f>
        <v>2</v>
      </c>
      <c r="J7" s="17">
        <f t="array" ref="J7">XLOOKUP(GABARITO!$B7,SETORES!B:B,SETORES!A:A)</f>
        <v>6</v>
      </c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4.25" customHeight="1">
      <c r="A8" s="17" t="s">
        <v>42</v>
      </c>
      <c r="B8" s="17" t="s">
        <v>41</v>
      </c>
      <c r="C8" s="16">
        <v>9.0</v>
      </c>
      <c r="D8" s="17"/>
      <c r="E8" s="17"/>
      <c r="F8" s="17">
        <v>14.0</v>
      </c>
      <c r="G8" s="17" t="s">
        <v>130</v>
      </c>
      <c r="H8" s="17">
        <v>7.0</v>
      </c>
      <c r="I8" s="17">
        <f t="array" ref="I8">XLOOKUP(GABARITO!$A8,MACROZONAS!B:B,MACROZONAS!A:A)</f>
        <v>3</v>
      </c>
      <c r="J8" s="17">
        <f t="array" ref="J8">XLOOKUP(GABARITO!$B8,SETORES!B:B,SETORES!A:A)</f>
        <v>3</v>
      </c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4.25" customHeight="1">
      <c r="A9" s="17" t="s">
        <v>42</v>
      </c>
      <c r="B9" s="17" t="s">
        <v>25</v>
      </c>
      <c r="C9" s="16">
        <v>9.0</v>
      </c>
      <c r="D9" s="17"/>
      <c r="E9" s="17"/>
      <c r="F9" s="17">
        <v>14.0</v>
      </c>
      <c r="G9" s="17" t="s">
        <v>130</v>
      </c>
      <c r="H9" s="17">
        <v>8.0</v>
      </c>
      <c r="I9" s="17">
        <f t="array" ref="I9">XLOOKUP(GABARITO!$A9,MACROZONAS!B:B,MACROZONAS!A:A)</f>
        <v>3</v>
      </c>
      <c r="J9" s="17">
        <f t="array" ref="J9">XLOOKUP(GABARITO!$B9,SETORES!B:B,SETORES!A:A)</f>
        <v>4</v>
      </c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4.25" customHeight="1">
      <c r="A10" s="17" t="s">
        <v>42</v>
      </c>
      <c r="B10" s="17" t="s">
        <v>17</v>
      </c>
      <c r="C10" s="16">
        <v>9.0</v>
      </c>
      <c r="D10" s="17"/>
      <c r="E10" s="17"/>
      <c r="F10" s="17">
        <v>14.0</v>
      </c>
      <c r="G10" s="17" t="s">
        <v>130</v>
      </c>
      <c r="H10" s="17">
        <v>9.0</v>
      </c>
      <c r="I10" s="17">
        <f t="array" ref="I10">XLOOKUP(GABARITO!$A10,MACROZONAS!B:B,MACROZONAS!A:A)</f>
        <v>3</v>
      </c>
      <c r="J10" s="17">
        <f t="array" ref="J10">XLOOKUP(GABARITO!$B10,SETORES!B:B,SETORES!A:A)</f>
        <v>5</v>
      </c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4.25" customHeight="1">
      <c r="A11" s="17" t="s">
        <v>42</v>
      </c>
      <c r="B11" s="17" t="s">
        <v>121</v>
      </c>
      <c r="C11" s="16">
        <v>9.0</v>
      </c>
      <c r="D11" s="17"/>
      <c r="E11" s="17"/>
      <c r="F11" s="17">
        <v>14.0</v>
      </c>
      <c r="G11" s="17" t="s">
        <v>130</v>
      </c>
      <c r="H11" s="17">
        <v>10.0</v>
      </c>
      <c r="I11" s="17">
        <f t="array" ref="I11">XLOOKUP(GABARITO!$A11,MACROZONAS!B:B,MACROZONAS!A:A)</f>
        <v>3</v>
      </c>
      <c r="J11" s="17">
        <f t="array" ref="J11">XLOOKUP(GABARITO!$B11,SETORES!B:B,SETORES!A:A)</f>
        <v>6</v>
      </c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4.25" customHeight="1">
      <c r="A12" s="17" t="s">
        <v>18</v>
      </c>
      <c r="B12" s="17" t="s">
        <v>41</v>
      </c>
      <c r="C12" s="16">
        <v>9.0</v>
      </c>
      <c r="D12" s="17"/>
      <c r="E12" s="17"/>
      <c r="F12" s="17">
        <v>14.0</v>
      </c>
      <c r="G12" s="17" t="s">
        <v>130</v>
      </c>
      <c r="H12" s="17">
        <v>11.0</v>
      </c>
      <c r="I12" s="17">
        <f t="array" ref="I12">XLOOKUP(GABARITO!$A12,MACROZONAS!B:B,MACROZONAS!A:A)</f>
        <v>4</v>
      </c>
      <c r="J12" s="17">
        <f t="array" ref="J12">XLOOKUP(GABARITO!$B12,SETORES!B:B,SETORES!A:A)</f>
        <v>3</v>
      </c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4.25" customHeight="1">
      <c r="A13" s="17" t="s">
        <v>18</v>
      </c>
      <c r="B13" s="17" t="s">
        <v>25</v>
      </c>
      <c r="C13" s="16">
        <v>9.0</v>
      </c>
      <c r="D13" s="17"/>
      <c r="E13" s="17"/>
      <c r="F13" s="17">
        <v>14.0</v>
      </c>
      <c r="G13" s="17" t="s">
        <v>130</v>
      </c>
      <c r="H13" s="17">
        <v>12.0</v>
      </c>
      <c r="I13" s="17">
        <f t="array" ref="I13">XLOOKUP(GABARITO!$A13,MACROZONAS!B:B,MACROZONAS!A:A)</f>
        <v>4</v>
      </c>
      <c r="J13" s="17">
        <f t="array" ref="J13">XLOOKUP(GABARITO!$B13,SETORES!B:B,SETORES!A:A)</f>
        <v>4</v>
      </c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4.25" customHeight="1">
      <c r="A14" s="17" t="s">
        <v>18</v>
      </c>
      <c r="B14" s="17" t="s">
        <v>17</v>
      </c>
      <c r="C14" s="16">
        <v>9.0</v>
      </c>
      <c r="D14" s="17"/>
      <c r="E14" s="17"/>
      <c r="F14" s="17">
        <v>14.0</v>
      </c>
      <c r="G14" s="17" t="s">
        <v>130</v>
      </c>
      <c r="H14" s="17">
        <v>13.0</v>
      </c>
      <c r="I14" s="17">
        <f t="array" ref="I14">XLOOKUP(GABARITO!$A14,MACROZONAS!B:B,MACROZONAS!A:A)</f>
        <v>4</v>
      </c>
      <c r="J14" s="17">
        <f t="array" ref="J14">XLOOKUP(GABARITO!$B14,SETORES!B:B,SETORES!A:A)</f>
        <v>5</v>
      </c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4.25" customHeight="1">
      <c r="A15" s="17" t="s">
        <v>18</v>
      </c>
      <c r="B15" s="17" t="s">
        <v>121</v>
      </c>
      <c r="C15" s="16">
        <v>9.0</v>
      </c>
      <c r="D15" s="17"/>
      <c r="E15" s="17"/>
      <c r="F15" s="17">
        <v>14.0</v>
      </c>
      <c r="G15" s="17" t="s">
        <v>130</v>
      </c>
      <c r="H15" s="17">
        <v>14.0</v>
      </c>
      <c r="I15" s="17">
        <f t="array" ref="I15">XLOOKUP(GABARITO!$A15,MACROZONAS!B:B,MACROZONAS!A:A)</f>
        <v>4</v>
      </c>
      <c r="J15" s="17">
        <f t="array" ref="J15">XLOOKUP(GABARITO!$B15,SETORES!B:B,SETORES!A:A)</f>
        <v>6</v>
      </c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4.25" customHeight="1">
      <c r="A16" s="17" t="s">
        <v>39</v>
      </c>
      <c r="B16" s="17" t="s">
        <v>41</v>
      </c>
      <c r="C16" s="16">
        <v>9.0</v>
      </c>
      <c r="D16" s="17"/>
      <c r="E16" s="17"/>
      <c r="F16" s="17">
        <v>14.0</v>
      </c>
      <c r="G16" s="17" t="s">
        <v>130</v>
      </c>
      <c r="H16" s="17">
        <v>15.0</v>
      </c>
      <c r="I16" s="17">
        <f t="array" ref="I16">XLOOKUP(GABARITO!$A16,MACROZONAS!B:B,MACROZONAS!A:A)</f>
        <v>5</v>
      </c>
      <c r="J16" s="17">
        <f t="array" ref="J16">XLOOKUP(GABARITO!$B16,SETORES!B:B,SETORES!A:A)</f>
        <v>3</v>
      </c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4.25" customHeight="1">
      <c r="A17" s="17" t="s">
        <v>39</v>
      </c>
      <c r="B17" s="17" t="s">
        <v>25</v>
      </c>
      <c r="C17" s="16">
        <v>9.0</v>
      </c>
      <c r="D17" s="17"/>
      <c r="E17" s="17"/>
      <c r="F17" s="17">
        <v>14.0</v>
      </c>
      <c r="G17" s="17" t="s">
        <v>130</v>
      </c>
      <c r="H17" s="17">
        <v>16.0</v>
      </c>
      <c r="I17" s="17">
        <f t="array" ref="I17">XLOOKUP(GABARITO!$A17,MACROZONAS!B:B,MACROZONAS!A:A)</f>
        <v>5</v>
      </c>
      <c r="J17" s="17">
        <f t="array" ref="J17">XLOOKUP(GABARITO!$B17,SETORES!B:B,SETORES!A:A)</f>
        <v>4</v>
      </c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4.25" customHeight="1">
      <c r="A18" s="17" t="s">
        <v>39</v>
      </c>
      <c r="B18" s="17" t="s">
        <v>17</v>
      </c>
      <c r="C18" s="16">
        <v>9.0</v>
      </c>
      <c r="D18" s="17"/>
      <c r="E18" s="17"/>
      <c r="F18" s="17">
        <v>14.0</v>
      </c>
      <c r="G18" s="17" t="s">
        <v>130</v>
      </c>
      <c r="H18" s="17">
        <v>17.0</v>
      </c>
      <c r="I18" s="17">
        <f t="array" ref="I18">XLOOKUP(GABARITO!$A18,MACROZONAS!B:B,MACROZONAS!A:A)</f>
        <v>5</v>
      </c>
      <c r="J18" s="17">
        <f t="array" ref="J18">XLOOKUP(GABARITO!$B18,SETORES!B:B,SETORES!A:A)</f>
        <v>5</v>
      </c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4.25" customHeight="1">
      <c r="A19" s="17" t="s">
        <v>39</v>
      </c>
      <c r="B19" s="17" t="s">
        <v>121</v>
      </c>
      <c r="C19" s="16">
        <v>9.0</v>
      </c>
      <c r="D19" s="17"/>
      <c r="E19" s="17"/>
      <c r="F19" s="17">
        <v>14.0</v>
      </c>
      <c r="G19" s="17" t="s">
        <v>130</v>
      </c>
      <c r="H19" s="17">
        <v>18.0</v>
      </c>
      <c r="I19" s="17">
        <f t="array" ref="I19">XLOOKUP(GABARITO!$A19,MACROZONAS!B:B,MACROZONAS!A:A)</f>
        <v>5</v>
      </c>
      <c r="J19" s="17">
        <f t="array" ref="J19">XLOOKUP(GABARITO!$B19,SETORES!B:B,SETORES!A:A)</f>
        <v>6</v>
      </c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4.25" customHeight="1">
      <c r="A20" s="17" t="s">
        <v>29</v>
      </c>
      <c r="B20" s="17" t="s">
        <v>41</v>
      </c>
      <c r="C20" s="16">
        <v>9.0</v>
      </c>
      <c r="D20" s="17"/>
      <c r="E20" s="17"/>
      <c r="F20" s="17">
        <v>14.0</v>
      </c>
      <c r="G20" s="17" t="s">
        <v>130</v>
      </c>
      <c r="H20" s="17">
        <v>19.0</v>
      </c>
      <c r="I20" s="17">
        <f t="array" ref="I20">XLOOKUP(GABARITO!$A20,MACROZONAS!B:B,MACROZONAS!A:A)</f>
        <v>6</v>
      </c>
      <c r="J20" s="17">
        <f t="array" ref="J20">XLOOKUP(GABARITO!$B20,SETORES!B:B,SETORES!A:A)</f>
        <v>3</v>
      </c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4.25" customHeight="1">
      <c r="A21" s="17" t="s">
        <v>29</v>
      </c>
      <c r="B21" s="17" t="s">
        <v>25</v>
      </c>
      <c r="C21" s="16">
        <v>9.0</v>
      </c>
      <c r="D21" s="17"/>
      <c r="E21" s="17"/>
      <c r="F21" s="17">
        <v>14.0</v>
      </c>
      <c r="G21" s="17" t="s">
        <v>130</v>
      </c>
      <c r="H21" s="17">
        <v>20.0</v>
      </c>
      <c r="I21" s="17">
        <f t="array" ref="I21">XLOOKUP(GABARITO!$A21,MACROZONAS!B:B,MACROZONAS!A:A)</f>
        <v>6</v>
      </c>
      <c r="J21" s="17">
        <f t="array" ref="J21">XLOOKUP(GABARITO!$B21,SETORES!B:B,SETORES!A:A)</f>
        <v>4</v>
      </c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4.25" customHeight="1">
      <c r="A22" s="17" t="s">
        <v>29</v>
      </c>
      <c r="B22" s="17" t="s">
        <v>17</v>
      </c>
      <c r="C22" s="16">
        <v>9.0</v>
      </c>
      <c r="D22" s="17"/>
      <c r="E22" s="17"/>
      <c r="F22" s="17">
        <v>14.0</v>
      </c>
      <c r="G22" s="17" t="s">
        <v>130</v>
      </c>
      <c r="H22" s="17">
        <v>21.0</v>
      </c>
      <c r="I22" s="17">
        <f t="array" ref="I22">XLOOKUP(GABARITO!$A22,MACROZONAS!B:B,MACROZONAS!A:A)</f>
        <v>6</v>
      </c>
      <c r="J22" s="17">
        <f t="array" ref="J22">XLOOKUP(GABARITO!$B22,SETORES!B:B,SETORES!A:A)</f>
        <v>5</v>
      </c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4.25" customHeight="1">
      <c r="A23" s="17" t="s">
        <v>29</v>
      </c>
      <c r="B23" s="17" t="s">
        <v>121</v>
      </c>
      <c r="C23" s="16">
        <v>9.0</v>
      </c>
      <c r="D23" s="17"/>
      <c r="E23" s="17"/>
      <c r="F23" s="17">
        <v>14.0</v>
      </c>
      <c r="G23" s="17" t="s">
        <v>130</v>
      </c>
      <c r="H23" s="17">
        <v>22.0</v>
      </c>
      <c r="I23" s="17">
        <f t="array" ref="I23">XLOOKUP(GABARITO!$A23,MACROZONAS!B:B,MACROZONAS!A:A)</f>
        <v>6</v>
      </c>
      <c r="J23" s="17">
        <f t="array" ref="J23">XLOOKUP(GABARITO!$B23,SETORES!B:B,SETORES!A:A)</f>
        <v>6</v>
      </c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4.25" customHeight="1">
      <c r="A24" s="17" t="s">
        <v>43</v>
      </c>
      <c r="B24" s="17" t="s">
        <v>41</v>
      </c>
      <c r="C24" s="16">
        <v>9.0</v>
      </c>
      <c r="D24" s="17"/>
      <c r="E24" s="17"/>
      <c r="F24" s="17">
        <v>14.0</v>
      </c>
      <c r="G24" s="17" t="s">
        <v>130</v>
      </c>
      <c r="H24" s="17">
        <v>23.0</v>
      </c>
      <c r="I24" s="17">
        <f t="array" ref="I24">XLOOKUP(GABARITO!$A24,MACROZONAS!B:B,MACROZONAS!A:A)</f>
        <v>7</v>
      </c>
      <c r="J24" s="17">
        <f t="array" ref="J24">XLOOKUP(GABARITO!$B24,SETORES!B:B,SETORES!A:A)</f>
        <v>3</v>
      </c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4.25" customHeight="1">
      <c r="A25" s="17" t="s">
        <v>43</v>
      </c>
      <c r="B25" s="17" t="s">
        <v>25</v>
      </c>
      <c r="C25" s="16">
        <v>9.0</v>
      </c>
      <c r="D25" s="17"/>
      <c r="E25" s="17"/>
      <c r="F25" s="17">
        <v>14.0</v>
      </c>
      <c r="G25" s="17" t="s">
        <v>130</v>
      </c>
      <c r="H25" s="17">
        <v>24.0</v>
      </c>
      <c r="I25" s="17">
        <f t="array" ref="I25">XLOOKUP(GABARITO!$A25,MACROZONAS!B:B,MACROZONAS!A:A)</f>
        <v>7</v>
      </c>
      <c r="J25" s="17">
        <f t="array" ref="J25">XLOOKUP(GABARITO!$B25,SETORES!B:B,SETORES!A:A)</f>
        <v>4</v>
      </c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4.25" customHeight="1">
      <c r="A26" s="17" t="s">
        <v>43</v>
      </c>
      <c r="B26" s="17" t="s">
        <v>17</v>
      </c>
      <c r="C26" s="16">
        <v>9.0</v>
      </c>
      <c r="D26" s="17"/>
      <c r="E26" s="17"/>
      <c r="F26" s="17">
        <v>14.0</v>
      </c>
      <c r="G26" s="17" t="s">
        <v>130</v>
      </c>
      <c r="H26" s="17">
        <v>25.0</v>
      </c>
      <c r="I26" s="17">
        <f t="array" ref="I26">XLOOKUP(GABARITO!$A26,MACROZONAS!B:B,MACROZONAS!A:A)</f>
        <v>7</v>
      </c>
      <c r="J26" s="17">
        <f t="array" ref="J26">XLOOKUP(GABARITO!$B26,SETORES!B:B,SETORES!A:A)</f>
        <v>5</v>
      </c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4.25" customHeight="1">
      <c r="A27" s="17" t="s">
        <v>43</v>
      </c>
      <c r="B27" s="17" t="s">
        <v>121</v>
      </c>
      <c r="C27" s="16">
        <v>9.0</v>
      </c>
      <c r="D27" s="17"/>
      <c r="E27" s="17"/>
      <c r="F27" s="17">
        <v>14.0</v>
      </c>
      <c r="G27" s="17" t="s">
        <v>130</v>
      </c>
      <c r="H27" s="17">
        <v>26.0</v>
      </c>
      <c r="I27" s="17">
        <f t="array" ref="I27">XLOOKUP(GABARITO!$A27,MACROZONAS!B:B,MACROZONAS!A:A)</f>
        <v>7</v>
      </c>
      <c r="J27" s="17">
        <f t="array" ref="J27">XLOOKUP(GABARITO!$B27,SETORES!B:B,SETORES!A:A)</f>
        <v>6</v>
      </c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4.25" customHeight="1">
      <c r="A28" s="17" t="s">
        <v>33</v>
      </c>
      <c r="B28" s="17" t="s">
        <v>37</v>
      </c>
      <c r="C28" s="16">
        <v>30.0</v>
      </c>
      <c r="D28" s="17">
        <v>17.0</v>
      </c>
      <c r="E28" s="17">
        <v>3.0</v>
      </c>
      <c r="F28" s="17">
        <v>14.0</v>
      </c>
      <c r="G28" s="17" t="s">
        <v>130</v>
      </c>
      <c r="H28" s="17">
        <v>27.0</v>
      </c>
      <c r="I28" s="17">
        <f t="array" ref="I28">XLOOKUP(GABARITO!$A28,MACROZONAS!B:B,MACROZONAS!A:A)</f>
        <v>1</v>
      </c>
      <c r="J28" s="17">
        <f t="array" ref="J28">XLOOKUP(GABARITO!$B28,SETORES!B:B,SETORES!A:A)</f>
        <v>7</v>
      </c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4.25" customHeight="1">
      <c r="A29" s="17" t="s">
        <v>33</v>
      </c>
      <c r="B29" s="17" t="s">
        <v>34</v>
      </c>
      <c r="C29" s="16">
        <v>15.0</v>
      </c>
      <c r="D29" s="17">
        <v>17.0</v>
      </c>
      <c r="E29" s="17"/>
      <c r="F29" s="17">
        <v>14.0</v>
      </c>
      <c r="G29" s="17" t="s">
        <v>130</v>
      </c>
      <c r="H29" s="17">
        <v>28.0</v>
      </c>
      <c r="I29" s="17">
        <f t="array" ref="I29">XLOOKUP(GABARITO!$A29,MACROZONAS!B:B,MACROZONAS!A:A)</f>
        <v>1</v>
      </c>
      <c r="J29" s="17">
        <f t="array" ref="J29">XLOOKUP(GABARITO!$B29,SETORES!B:B,SETORES!A:A)</f>
        <v>2</v>
      </c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4.25" customHeight="1">
      <c r="A30" s="17" t="s">
        <v>28</v>
      </c>
      <c r="B30" s="17" t="s">
        <v>15</v>
      </c>
      <c r="C30" s="16">
        <v>30.0</v>
      </c>
      <c r="D30" s="17"/>
      <c r="E30" s="17"/>
      <c r="F30" s="17">
        <v>14.0</v>
      </c>
      <c r="G30" s="17" t="s">
        <v>130</v>
      </c>
      <c r="H30" s="17">
        <v>29.0</v>
      </c>
      <c r="I30" s="17">
        <f t="array" ref="I30">XLOOKUP(GABARITO!$A30,MACROZONAS!B:B,MACROZONAS!A:A)</f>
        <v>2</v>
      </c>
      <c r="J30" s="17">
        <f t="array" ref="J30">XLOOKUP(GABARITO!$B30,SETORES!B:B,SETORES!A:A)</f>
        <v>9</v>
      </c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4.25" customHeight="1">
      <c r="A31" s="17" t="s">
        <v>33</v>
      </c>
      <c r="B31" s="17" t="s">
        <v>38</v>
      </c>
      <c r="C31" s="16">
        <v>9.0</v>
      </c>
      <c r="D31" s="17">
        <v>10.0</v>
      </c>
      <c r="E31" s="17"/>
      <c r="F31" s="17">
        <v>14.0</v>
      </c>
      <c r="G31" s="17" t="s">
        <v>130</v>
      </c>
      <c r="H31" s="17">
        <v>30.0</v>
      </c>
      <c r="I31" s="17">
        <f t="array" ref="I31">XLOOKUP(GABARITO!$A31,MACROZONAS!B:B,MACROZONAS!A:A)</f>
        <v>1</v>
      </c>
      <c r="J31" s="17">
        <f t="array" ref="J31">XLOOKUP(GABARITO!$B31,SETORES!B:B,SETORES!A:A)</f>
        <v>10</v>
      </c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4.25" customHeight="1">
      <c r="A32" s="17" t="s">
        <v>28</v>
      </c>
      <c r="B32" s="17" t="s">
        <v>38</v>
      </c>
      <c r="C32" s="16">
        <v>9.0</v>
      </c>
      <c r="D32" s="17">
        <v>10.0</v>
      </c>
      <c r="E32" s="17"/>
      <c r="F32" s="17">
        <v>14.0</v>
      </c>
      <c r="G32" s="17" t="s">
        <v>130</v>
      </c>
      <c r="H32" s="17">
        <v>31.0</v>
      </c>
      <c r="I32" s="17">
        <f t="array" ref="I32">XLOOKUP(GABARITO!$A32,MACROZONAS!B:B,MACROZONAS!A:A)</f>
        <v>2</v>
      </c>
      <c r="J32" s="17">
        <f t="array" ref="J32">XLOOKUP(GABARITO!$B32,SETORES!B:B,SETORES!A:A)</f>
        <v>10</v>
      </c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4.25" customHeight="1">
      <c r="A33" s="17" t="s">
        <v>42</v>
      </c>
      <c r="B33" s="17" t="s">
        <v>38</v>
      </c>
      <c r="C33" s="16">
        <v>9.0</v>
      </c>
      <c r="D33" s="17">
        <v>10.0</v>
      </c>
      <c r="E33" s="17"/>
      <c r="F33" s="17">
        <v>14.0</v>
      </c>
      <c r="G33" s="17" t="s">
        <v>130</v>
      </c>
      <c r="H33" s="17">
        <v>32.0</v>
      </c>
      <c r="I33" s="17">
        <f t="array" ref="I33">XLOOKUP(GABARITO!$A33,MACROZONAS!B:B,MACROZONAS!A:A)</f>
        <v>3</v>
      </c>
      <c r="J33" s="17">
        <f t="array" ref="J33">XLOOKUP(GABARITO!$B33,SETORES!B:B,SETORES!A:A)</f>
        <v>10</v>
      </c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4.25" customHeight="1">
      <c r="A34" s="17" t="s">
        <v>18</v>
      </c>
      <c r="B34" s="17" t="s">
        <v>38</v>
      </c>
      <c r="C34" s="16">
        <v>9.0</v>
      </c>
      <c r="D34" s="17">
        <v>10.0</v>
      </c>
      <c r="E34" s="17"/>
      <c r="F34" s="17">
        <v>14.0</v>
      </c>
      <c r="G34" s="17" t="s">
        <v>130</v>
      </c>
      <c r="H34" s="17">
        <v>33.0</v>
      </c>
      <c r="I34" s="17">
        <f t="array" ref="I34">XLOOKUP(GABARITO!$A34,MACROZONAS!B:B,MACROZONAS!A:A)</f>
        <v>4</v>
      </c>
      <c r="J34" s="17">
        <f t="array" ref="J34">XLOOKUP(GABARITO!$B34,SETORES!B:B,SETORES!A:A)</f>
        <v>10</v>
      </c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4.25" customHeight="1">
      <c r="A35" s="17" t="s">
        <v>39</v>
      </c>
      <c r="B35" s="17" t="s">
        <v>38</v>
      </c>
      <c r="C35" s="16">
        <v>9.0</v>
      </c>
      <c r="D35" s="17">
        <v>10.0</v>
      </c>
      <c r="E35" s="17"/>
      <c r="F35" s="17">
        <v>14.0</v>
      </c>
      <c r="G35" s="17" t="s">
        <v>130</v>
      </c>
      <c r="H35" s="17">
        <v>34.0</v>
      </c>
      <c r="I35" s="17">
        <f t="array" ref="I35">XLOOKUP(GABARITO!$A35,MACROZONAS!B:B,MACROZONAS!A:A)</f>
        <v>5</v>
      </c>
      <c r="J35" s="17">
        <f t="array" ref="J35">XLOOKUP(GABARITO!$B35,SETORES!B:B,SETORES!A:A)</f>
        <v>10</v>
      </c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4.25" customHeight="1">
      <c r="A36" s="17" t="s">
        <v>33</v>
      </c>
      <c r="B36" s="17" t="s">
        <v>40</v>
      </c>
      <c r="C36" s="16">
        <v>9.0</v>
      </c>
      <c r="D36" s="17">
        <v>10.0</v>
      </c>
      <c r="E36" s="17"/>
      <c r="F36" s="17">
        <v>14.0</v>
      </c>
      <c r="G36" s="17" t="s">
        <v>130</v>
      </c>
      <c r="H36" s="17">
        <v>35.0</v>
      </c>
      <c r="I36" s="17">
        <f t="array" ref="I36">XLOOKUP(GABARITO!$A36,MACROZONAS!B:B,MACROZONAS!A:A)</f>
        <v>1</v>
      </c>
      <c r="J36" s="17">
        <f t="array" ref="J36">XLOOKUP(GABARITO!$B36,SETORES!B:B,SETORES!A:A)</f>
        <v>11</v>
      </c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4.25" customHeight="1">
      <c r="A37" s="17" t="s">
        <v>28</v>
      </c>
      <c r="B37" s="17" t="s">
        <v>40</v>
      </c>
      <c r="C37" s="16">
        <v>9.0</v>
      </c>
      <c r="D37" s="17">
        <v>10.0</v>
      </c>
      <c r="E37" s="17"/>
      <c r="F37" s="17">
        <v>14.0</v>
      </c>
      <c r="G37" s="17" t="s">
        <v>130</v>
      </c>
      <c r="H37" s="17">
        <v>36.0</v>
      </c>
      <c r="I37" s="17">
        <f t="array" ref="I37">XLOOKUP(GABARITO!$A37,MACROZONAS!B:B,MACROZONAS!A:A)</f>
        <v>2</v>
      </c>
      <c r="J37" s="17">
        <f t="array" ref="J37">XLOOKUP(GABARITO!$B37,SETORES!B:B,SETORES!A:A)</f>
        <v>11</v>
      </c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4.25" customHeight="1">
      <c r="A38" s="17" t="s">
        <v>42</v>
      </c>
      <c r="B38" s="17" t="s">
        <v>40</v>
      </c>
      <c r="C38" s="16">
        <v>9.0</v>
      </c>
      <c r="D38" s="17">
        <v>10.0</v>
      </c>
      <c r="E38" s="17"/>
      <c r="F38" s="17">
        <v>14.0</v>
      </c>
      <c r="G38" s="17" t="s">
        <v>130</v>
      </c>
      <c r="H38" s="17">
        <v>37.0</v>
      </c>
      <c r="I38" s="17">
        <f t="array" ref="I38">XLOOKUP(GABARITO!$A38,MACROZONAS!B:B,MACROZONAS!A:A)</f>
        <v>3</v>
      </c>
      <c r="J38" s="17">
        <f t="array" ref="J38">XLOOKUP(GABARITO!$B38,SETORES!B:B,SETORES!A:A)</f>
        <v>11</v>
      </c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4.25" customHeight="1">
      <c r="A39" s="17" t="s">
        <v>18</v>
      </c>
      <c r="B39" s="17" t="s">
        <v>40</v>
      </c>
      <c r="C39" s="16">
        <v>9.0</v>
      </c>
      <c r="D39" s="17">
        <v>10.0</v>
      </c>
      <c r="E39" s="17"/>
      <c r="F39" s="17">
        <v>14.0</v>
      </c>
      <c r="G39" s="17" t="s">
        <v>130</v>
      </c>
      <c r="H39" s="17">
        <v>38.0</v>
      </c>
      <c r="I39" s="17">
        <f t="array" ref="I39">XLOOKUP(GABARITO!$A39,MACROZONAS!B:B,MACROZONAS!A:A)</f>
        <v>4</v>
      </c>
      <c r="J39" s="17">
        <f t="array" ref="J39">XLOOKUP(GABARITO!$B39,SETORES!B:B,SETORES!A:A)</f>
        <v>11</v>
      </c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4.25" customHeight="1">
      <c r="A40" s="17" t="s">
        <v>39</v>
      </c>
      <c r="B40" s="17" t="s">
        <v>40</v>
      </c>
      <c r="C40" s="16">
        <v>9.0</v>
      </c>
      <c r="D40" s="17">
        <v>10.0</v>
      </c>
      <c r="E40" s="17"/>
      <c r="F40" s="17">
        <v>14.0</v>
      </c>
      <c r="G40" s="17" t="s">
        <v>130</v>
      </c>
      <c r="H40" s="17">
        <v>39.0</v>
      </c>
      <c r="I40" s="17">
        <f t="array" ref="I40">XLOOKUP(GABARITO!$A40,MACROZONAS!B:B,MACROZONAS!A:A)</f>
        <v>5</v>
      </c>
      <c r="J40" s="17">
        <f t="array" ref="J40">XLOOKUP(GABARITO!$B40,SETORES!B:B,SETORES!A:A)</f>
        <v>11</v>
      </c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4.25" customHeight="1">
      <c r="A41" s="17" t="s">
        <v>42</v>
      </c>
      <c r="B41" s="17" t="s">
        <v>20</v>
      </c>
      <c r="C41" s="16">
        <v>15.0</v>
      </c>
      <c r="D41" s="17">
        <v>13.0</v>
      </c>
      <c r="E41" s="17"/>
      <c r="F41" s="17">
        <v>14.0</v>
      </c>
      <c r="G41" s="17" t="s">
        <v>130</v>
      </c>
      <c r="H41" s="17">
        <v>40.0</v>
      </c>
      <c r="I41" s="17">
        <f t="array" ref="I41">XLOOKUP(GABARITO!$A41,MACROZONAS!B:B,MACROZONAS!A:A)</f>
        <v>3</v>
      </c>
      <c r="J41" s="17">
        <f t="array" ref="J41">XLOOKUP(GABARITO!$B41,SETORES!B:B,SETORES!A:A)</f>
        <v>12</v>
      </c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4.25" customHeight="1">
      <c r="A42" s="17" t="s">
        <v>33</v>
      </c>
      <c r="B42" s="17" t="s">
        <v>24</v>
      </c>
      <c r="C42" s="16">
        <v>30.0</v>
      </c>
      <c r="D42" s="17">
        <v>17.0</v>
      </c>
      <c r="E42" s="17">
        <v>5.0</v>
      </c>
      <c r="F42" s="17">
        <v>14.0</v>
      </c>
      <c r="G42" s="17" t="s">
        <v>130</v>
      </c>
      <c r="H42" s="17">
        <v>41.0</v>
      </c>
      <c r="I42" s="17">
        <f t="array" ref="I42">XLOOKUP(GABARITO!$A42,MACROZONAS!B:B,MACROZONAS!A:A)</f>
        <v>1</v>
      </c>
      <c r="J42" s="17">
        <f t="array" ref="J42">XLOOKUP(GABARITO!$B42,SETORES!B:B,SETORES!A:A)</f>
        <v>14</v>
      </c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4.25" customHeight="1">
      <c r="A43" s="17" t="s">
        <v>28</v>
      </c>
      <c r="B43" s="17" t="s">
        <v>24</v>
      </c>
      <c r="C43" s="16">
        <v>15.0</v>
      </c>
      <c r="D43" s="17">
        <v>17.0</v>
      </c>
      <c r="E43" s="17"/>
      <c r="F43" s="17">
        <v>14.0</v>
      </c>
      <c r="G43" s="17" t="s">
        <v>130</v>
      </c>
      <c r="H43" s="17">
        <v>42.0</v>
      </c>
      <c r="I43" s="17">
        <f t="array" ref="I43">XLOOKUP(GABARITO!$A43,MACROZONAS!B:B,MACROZONAS!A:A)</f>
        <v>2</v>
      </c>
      <c r="J43" s="17">
        <f t="array" ref="J43">XLOOKUP(GABARITO!$B43,SETORES!B:B,SETORES!A:A)</f>
        <v>14</v>
      </c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4.25" customHeight="1">
      <c r="A44" s="17" t="s">
        <v>42</v>
      </c>
      <c r="B44" s="17" t="s">
        <v>24</v>
      </c>
      <c r="C44" s="16">
        <v>9.0</v>
      </c>
      <c r="D44" s="17">
        <v>17.0</v>
      </c>
      <c r="E44" s="17"/>
      <c r="F44" s="17">
        <v>14.0</v>
      </c>
      <c r="G44" s="17" t="s">
        <v>130</v>
      </c>
      <c r="H44" s="17">
        <v>43.0</v>
      </c>
      <c r="I44" s="17">
        <f t="array" ref="I44">XLOOKUP(GABARITO!$A44,MACROZONAS!B:B,MACROZONAS!A:A)</f>
        <v>3</v>
      </c>
      <c r="J44" s="17">
        <f t="array" ref="J44">XLOOKUP(GABARITO!$B44,SETORES!B:B,SETORES!A:A)</f>
        <v>14</v>
      </c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4.25" customHeight="1">
      <c r="A45" s="17" t="s">
        <v>33</v>
      </c>
      <c r="B45" s="17" t="s">
        <v>24</v>
      </c>
      <c r="C45" s="16">
        <v>45.0</v>
      </c>
      <c r="D45" s="17">
        <v>17.0</v>
      </c>
      <c r="E45" s="17">
        <v>5.0</v>
      </c>
      <c r="F45" s="17">
        <v>14.0</v>
      </c>
      <c r="G45" s="17" t="s">
        <v>130</v>
      </c>
      <c r="H45" s="17">
        <v>44.0</v>
      </c>
      <c r="I45" s="17">
        <f t="array" ref="I45">XLOOKUP(GABARITO!$A45,MACROZONAS!B:B,MACROZONAS!A:A)</f>
        <v>1</v>
      </c>
      <c r="J45" s="17">
        <f t="array" ref="J45">XLOOKUP(GABARITO!$B45,SETORES!B:B,SETORES!A:A)</f>
        <v>14</v>
      </c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4.25" customHeight="1">
      <c r="A46" s="17" t="s">
        <v>28</v>
      </c>
      <c r="B46" s="17" t="s">
        <v>23</v>
      </c>
      <c r="C46" s="16">
        <v>15.0</v>
      </c>
      <c r="D46" s="17">
        <v>14.0</v>
      </c>
      <c r="E46" s="17"/>
      <c r="F46" s="17">
        <v>14.0</v>
      </c>
      <c r="G46" s="17" t="s">
        <v>130</v>
      </c>
      <c r="H46" s="17">
        <v>45.0</v>
      </c>
      <c r="I46" s="17">
        <f t="array" ref="I46">XLOOKUP(GABARITO!$A46,MACROZONAS!B:B,MACROZONAS!A:A)</f>
        <v>2</v>
      </c>
      <c r="J46" s="17">
        <f t="array" ref="J46">XLOOKUP(GABARITO!$B46,SETORES!B:B,SETORES!A:A)</f>
        <v>15</v>
      </c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4.25" customHeight="1">
      <c r="A47" s="17" t="s">
        <v>33</v>
      </c>
      <c r="B47" s="17" t="s">
        <v>35</v>
      </c>
      <c r="C47" s="16">
        <v>30.0</v>
      </c>
      <c r="D47" s="17">
        <v>17.0</v>
      </c>
      <c r="E47" s="17">
        <v>5.0</v>
      </c>
      <c r="F47" s="17">
        <v>14.0</v>
      </c>
      <c r="G47" s="17" t="s">
        <v>130</v>
      </c>
      <c r="H47" s="17">
        <v>46.0</v>
      </c>
      <c r="I47" s="17">
        <f t="array" ref="I47">XLOOKUP(GABARITO!$A47,MACROZONAS!B:B,MACROZONAS!A:A)</f>
        <v>1</v>
      </c>
      <c r="J47" s="17">
        <f t="array" ref="J47">XLOOKUP(GABARITO!$B47,SETORES!B:B,SETORES!A:A)</f>
        <v>16</v>
      </c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4.25" customHeight="1">
      <c r="A48" s="17" t="s">
        <v>28</v>
      </c>
      <c r="B48" s="17" t="s">
        <v>35</v>
      </c>
      <c r="C48" s="16">
        <v>20.0</v>
      </c>
      <c r="D48" s="17"/>
      <c r="E48" s="17"/>
      <c r="F48" s="17">
        <v>14.0</v>
      </c>
      <c r="G48" s="17" t="s">
        <v>130</v>
      </c>
      <c r="H48" s="17">
        <v>47.0</v>
      </c>
      <c r="I48" s="17">
        <f t="array" ref="I48">XLOOKUP(GABARITO!$A48,MACROZONAS!B:B,MACROZONAS!A:A)</f>
        <v>2</v>
      </c>
      <c r="J48" s="17">
        <f t="array" ref="J48">XLOOKUP(GABARITO!$B48,SETORES!B:B,SETORES!A:A)</f>
        <v>16</v>
      </c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4.25" customHeight="1">
      <c r="A49" s="17" t="s">
        <v>42</v>
      </c>
      <c r="B49" s="17" t="s">
        <v>35</v>
      </c>
      <c r="C49" s="16">
        <v>9.0</v>
      </c>
      <c r="D49" s="17"/>
      <c r="E49" s="17"/>
      <c r="F49" s="17">
        <v>14.0</v>
      </c>
      <c r="G49" s="17" t="s">
        <v>130</v>
      </c>
      <c r="H49" s="17">
        <v>48.0</v>
      </c>
      <c r="I49" s="17">
        <f t="array" ref="I49">XLOOKUP(GABARITO!$A49,MACROZONAS!B:B,MACROZONAS!A:A)</f>
        <v>3</v>
      </c>
      <c r="J49" s="17">
        <f t="array" ref="J49">XLOOKUP(GABARITO!$B49,SETORES!B:B,SETORES!A:A)</f>
        <v>16</v>
      </c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4.25" customHeight="1">
      <c r="A50" s="17" t="s">
        <v>18</v>
      </c>
      <c r="B50" s="17" t="s">
        <v>35</v>
      </c>
      <c r="C50" s="16">
        <v>30.0</v>
      </c>
      <c r="D50" s="17"/>
      <c r="E50" s="17"/>
      <c r="F50" s="17">
        <v>14.0</v>
      </c>
      <c r="G50" s="17" t="s">
        <v>130</v>
      </c>
      <c r="H50" s="17">
        <v>49.0</v>
      </c>
      <c r="I50" s="17">
        <f t="array" ref="I50">XLOOKUP(GABARITO!$A50,MACROZONAS!B:B,MACROZONAS!A:A)</f>
        <v>4</v>
      </c>
      <c r="J50" s="17">
        <f t="array" ref="J50">XLOOKUP(GABARITO!$B50,SETORES!B:B,SETORES!A:A)</f>
        <v>16</v>
      </c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4.25" customHeight="1">
      <c r="A51" s="17" t="s">
        <v>33</v>
      </c>
      <c r="B51" s="17" t="s">
        <v>26</v>
      </c>
      <c r="C51" s="16">
        <v>15.0</v>
      </c>
      <c r="D51" s="17"/>
      <c r="E51" s="17"/>
      <c r="F51" s="17">
        <v>14.0</v>
      </c>
      <c r="G51" s="17" t="s">
        <v>130</v>
      </c>
      <c r="H51" s="17">
        <v>50.0</v>
      </c>
      <c r="I51" s="17">
        <f t="array" ref="I51">XLOOKUP(GABARITO!$A51,MACROZONAS!B:B,MACROZONAS!A:A)</f>
        <v>1</v>
      </c>
      <c r="J51" s="17">
        <f t="array" ref="J51">XLOOKUP(GABARITO!$B51,SETORES!B:B,SETORES!A:A)</f>
        <v>17</v>
      </c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4.25" customHeight="1">
      <c r="A52" s="17" t="s">
        <v>28</v>
      </c>
      <c r="B52" s="17" t="s">
        <v>26</v>
      </c>
      <c r="C52" s="16">
        <v>15.0</v>
      </c>
      <c r="D52" s="17"/>
      <c r="E52" s="17"/>
      <c r="F52" s="17">
        <v>14.0</v>
      </c>
      <c r="G52" s="17" t="s">
        <v>130</v>
      </c>
      <c r="H52" s="17">
        <v>51.0</v>
      </c>
      <c r="I52" s="17">
        <f t="array" ref="I52">XLOOKUP(GABARITO!$A52,MACROZONAS!B:B,MACROZONAS!A:A)</f>
        <v>2</v>
      </c>
      <c r="J52" s="17">
        <f t="array" ref="J52">XLOOKUP(GABARITO!$B52,SETORES!B:B,SETORES!A:A)</f>
        <v>17</v>
      </c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4.25" customHeight="1">
      <c r="A53" s="17" t="s">
        <v>42</v>
      </c>
      <c r="B53" s="17" t="s">
        <v>26</v>
      </c>
      <c r="C53" s="16">
        <v>15.0</v>
      </c>
      <c r="D53" s="17"/>
      <c r="E53" s="17"/>
      <c r="F53" s="17">
        <v>14.0</v>
      </c>
      <c r="G53" s="17" t="s">
        <v>130</v>
      </c>
      <c r="H53" s="17">
        <v>52.0</v>
      </c>
      <c r="I53" s="17">
        <f t="array" ref="I53">XLOOKUP(GABARITO!$A53,MACROZONAS!B:B,MACROZONAS!A:A)</f>
        <v>3</v>
      </c>
      <c r="J53" s="17">
        <f t="array" ref="J53">XLOOKUP(GABARITO!$B53,SETORES!B:B,SETORES!A:A)</f>
        <v>17</v>
      </c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4.25" customHeight="1">
      <c r="A54" s="17" t="s">
        <v>33</v>
      </c>
      <c r="B54" s="17" t="s">
        <v>35</v>
      </c>
      <c r="C54" s="16">
        <v>45.0</v>
      </c>
      <c r="D54" s="17">
        <v>17.0</v>
      </c>
      <c r="E54" s="17">
        <v>5.0</v>
      </c>
      <c r="F54" s="17">
        <v>14.0</v>
      </c>
      <c r="G54" s="17" t="s">
        <v>130</v>
      </c>
      <c r="H54" s="17">
        <v>53.0</v>
      </c>
      <c r="I54" s="17">
        <f t="array" ref="I54">XLOOKUP(GABARITO!$A54,MACROZONAS!B:B,MACROZONAS!A:A)</f>
        <v>1</v>
      </c>
      <c r="J54" s="17">
        <f t="array" ref="J54">XLOOKUP(GABARITO!$B54,SETORES!B:B,SETORES!A:A)</f>
        <v>16</v>
      </c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4.25" customHeight="1">
      <c r="A55" s="7"/>
      <c r="B55" s="7"/>
      <c r="C55" s="23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4.25" customHeight="1">
      <c r="A56" s="7"/>
      <c r="B56" s="7"/>
      <c r="C56" s="23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4.25" customHeight="1">
      <c r="A57" s="7"/>
      <c r="B57" s="7"/>
      <c r="C57" s="23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4.25" customHeight="1">
      <c r="A58" s="7"/>
      <c r="B58" s="7"/>
      <c r="C58" s="23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4.25" customHeight="1">
      <c r="A59" s="7"/>
      <c r="B59" s="7"/>
      <c r="C59" s="23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4.25" customHeight="1">
      <c r="A60" s="7"/>
      <c r="B60" s="7"/>
      <c r="C60" s="23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4.25" customHeight="1">
      <c r="A61" s="7"/>
      <c r="B61" s="7"/>
      <c r="C61" s="23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4.25" customHeight="1">
      <c r="A62" s="7"/>
      <c r="B62" s="7"/>
      <c r="C62" s="23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4.25" customHeight="1">
      <c r="A63" s="7"/>
      <c r="B63" s="7"/>
      <c r="C63" s="23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4.25" customHeight="1">
      <c r="A64" s="7"/>
      <c r="B64" s="7"/>
      <c r="C64" s="23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4.25" customHeight="1">
      <c r="A65" s="7"/>
      <c r="B65" s="7"/>
      <c r="C65" s="23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4.25" customHeight="1">
      <c r="A66" s="7"/>
      <c r="B66" s="7"/>
      <c r="C66" s="23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4.25" customHeight="1">
      <c r="A67" s="7"/>
      <c r="B67" s="7"/>
      <c r="C67" s="23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4.25" customHeight="1">
      <c r="A68" s="7"/>
      <c r="B68" s="7"/>
      <c r="C68" s="23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4.25" customHeight="1">
      <c r="A69" s="7"/>
      <c r="B69" s="7"/>
      <c r="C69" s="23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4.25" customHeight="1">
      <c r="A70" s="7"/>
      <c r="B70" s="7"/>
      <c r="C70" s="23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4.25" customHeight="1">
      <c r="A71" s="7"/>
      <c r="B71" s="7"/>
      <c r="C71" s="23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4.25" customHeight="1">
      <c r="A72" s="7"/>
      <c r="B72" s="7"/>
      <c r="C72" s="23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4.25" customHeight="1">
      <c r="A73" s="7"/>
      <c r="B73" s="7"/>
      <c r="C73" s="23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4.25" customHeight="1">
      <c r="A74" s="7"/>
      <c r="B74" s="7"/>
      <c r="C74" s="23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4.25" customHeight="1">
      <c r="A75" s="7"/>
      <c r="B75" s="7"/>
      <c r="C75" s="23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4.25" customHeight="1">
      <c r="A76" s="7"/>
      <c r="B76" s="7"/>
      <c r="C76" s="23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4.25" customHeight="1">
      <c r="A77" s="7"/>
      <c r="B77" s="7"/>
      <c r="C77" s="23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4.25" customHeight="1">
      <c r="A78" s="7"/>
      <c r="B78" s="7"/>
      <c r="C78" s="23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4.25" customHeight="1">
      <c r="A79" s="7"/>
      <c r="B79" s="7"/>
      <c r="C79" s="23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4.25" customHeight="1">
      <c r="A80" s="7"/>
      <c r="B80" s="7"/>
      <c r="C80" s="23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4.25" customHeight="1">
      <c r="A81" s="7"/>
      <c r="B81" s="7"/>
      <c r="C81" s="23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4.25" customHeight="1">
      <c r="A82" s="7"/>
      <c r="B82" s="7"/>
      <c r="C82" s="23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4.25" customHeight="1">
      <c r="A83" s="7"/>
      <c r="B83" s="7"/>
      <c r="C83" s="23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4.25" customHeight="1">
      <c r="A84" s="7"/>
      <c r="B84" s="7"/>
      <c r="C84" s="23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4.25" customHeight="1">
      <c r="A85" s="7"/>
      <c r="B85" s="7"/>
      <c r="C85" s="23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4.25" customHeight="1">
      <c r="A86" s="7"/>
      <c r="B86" s="7"/>
      <c r="C86" s="23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4.25" customHeight="1">
      <c r="A87" s="7"/>
      <c r="B87" s="7"/>
      <c r="C87" s="23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4.25" customHeight="1">
      <c r="A88" s="7"/>
      <c r="B88" s="7"/>
      <c r="C88" s="23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4.25" customHeight="1">
      <c r="A89" s="7"/>
      <c r="B89" s="7"/>
      <c r="C89" s="23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4.25" customHeight="1">
      <c r="A90" s="7"/>
      <c r="B90" s="7"/>
      <c r="C90" s="23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4.25" customHeight="1">
      <c r="A91" s="7"/>
      <c r="B91" s="7"/>
      <c r="C91" s="23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4.25" customHeight="1">
      <c r="A92" s="7"/>
      <c r="B92" s="7"/>
      <c r="C92" s="23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4.25" customHeight="1">
      <c r="A93" s="7"/>
      <c r="B93" s="7"/>
      <c r="C93" s="23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4.25" customHeight="1">
      <c r="A94" s="7"/>
      <c r="B94" s="7"/>
      <c r="C94" s="23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4.25" customHeight="1">
      <c r="A95" s="7"/>
      <c r="B95" s="7"/>
      <c r="C95" s="23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4.25" customHeight="1">
      <c r="A96" s="7"/>
      <c r="B96" s="7"/>
      <c r="C96" s="23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4.25" customHeight="1">
      <c r="A97" s="7"/>
      <c r="B97" s="7"/>
      <c r="C97" s="23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4.25" customHeight="1">
      <c r="A98" s="7"/>
      <c r="B98" s="7"/>
      <c r="C98" s="23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4.25" customHeight="1">
      <c r="A99" s="7"/>
      <c r="B99" s="7"/>
      <c r="C99" s="23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4.25" customHeight="1">
      <c r="A100" s="7"/>
      <c r="B100" s="7"/>
      <c r="C100" s="23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4.25" customHeight="1">
      <c r="A101" s="7"/>
      <c r="B101" s="7"/>
      <c r="C101" s="23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4.25" customHeight="1">
      <c r="A102" s="7"/>
      <c r="B102" s="7"/>
      <c r="C102" s="23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4.25" customHeight="1">
      <c r="A103" s="7"/>
      <c r="B103" s="7"/>
      <c r="C103" s="23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4.25" customHeight="1">
      <c r="A104" s="7"/>
      <c r="B104" s="7"/>
      <c r="C104" s="23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4.25" customHeight="1">
      <c r="A105" s="7"/>
      <c r="B105" s="7"/>
      <c r="C105" s="23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4.25" customHeight="1">
      <c r="A106" s="7"/>
      <c r="B106" s="7"/>
      <c r="C106" s="23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4.25" customHeight="1">
      <c r="A107" s="7"/>
      <c r="B107" s="7"/>
      <c r="C107" s="23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4.25" customHeight="1">
      <c r="A108" s="7"/>
      <c r="B108" s="7"/>
      <c r="C108" s="23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4.25" customHeight="1">
      <c r="A109" s="7"/>
      <c r="B109" s="7"/>
      <c r="C109" s="23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4.25" customHeight="1">
      <c r="A110" s="7"/>
      <c r="B110" s="7"/>
      <c r="C110" s="23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4.25" customHeight="1">
      <c r="A111" s="7"/>
      <c r="B111" s="7"/>
      <c r="C111" s="23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4.25" customHeight="1">
      <c r="A112" s="7"/>
      <c r="B112" s="7"/>
      <c r="C112" s="23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4.25" customHeight="1">
      <c r="A113" s="7"/>
      <c r="B113" s="7"/>
      <c r="C113" s="23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4.25" customHeight="1">
      <c r="A114" s="7"/>
      <c r="B114" s="7"/>
      <c r="C114" s="23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4.25" customHeight="1">
      <c r="A115" s="7"/>
      <c r="B115" s="7"/>
      <c r="C115" s="23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4.25" customHeight="1">
      <c r="A116" s="7"/>
      <c r="B116" s="7"/>
      <c r="C116" s="23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4.25" customHeight="1">
      <c r="A117" s="7"/>
      <c r="B117" s="7"/>
      <c r="C117" s="23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4.25" customHeight="1">
      <c r="A118" s="7"/>
      <c r="B118" s="7"/>
      <c r="C118" s="23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4.25" customHeight="1">
      <c r="A119" s="7"/>
      <c r="B119" s="7"/>
      <c r="C119" s="23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4.25" customHeight="1">
      <c r="A120" s="7"/>
      <c r="B120" s="7"/>
      <c r="C120" s="23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4.25" customHeight="1">
      <c r="A121" s="7"/>
      <c r="B121" s="7"/>
      <c r="C121" s="23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4.25" customHeight="1">
      <c r="A122" s="7"/>
      <c r="B122" s="7"/>
      <c r="C122" s="23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4.25" customHeight="1">
      <c r="A123" s="7"/>
      <c r="B123" s="7"/>
      <c r="C123" s="23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4.25" customHeight="1">
      <c r="A124" s="7"/>
      <c r="B124" s="7"/>
      <c r="C124" s="23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4.25" customHeight="1">
      <c r="A125" s="7"/>
      <c r="B125" s="7"/>
      <c r="C125" s="23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4.25" customHeight="1">
      <c r="A126" s="7"/>
      <c r="B126" s="7"/>
      <c r="C126" s="23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4.25" customHeight="1">
      <c r="A127" s="7"/>
      <c r="B127" s="7"/>
      <c r="C127" s="23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4.25" customHeight="1">
      <c r="A128" s="7"/>
      <c r="B128" s="7"/>
      <c r="C128" s="23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4.25" customHeight="1">
      <c r="A129" s="7"/>
      <c r="B129" s="7"/>
      <c r="C129" s="23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4.25" customHeight="1">
      <c r="A130" s="7"/>
      <c r="B130" s="7"/>
      <c r="C130" s="23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4.25" customHeight="1">
      <c r="A131" s="7"/>
      <c r="B131" s="7"/>
      <c r="C131" s="23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4.25" customHeight="1">
      <c r="A132" s="7"/>
      <c r="B132" s="7"/>
      <c r="C132" s="23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4.25" customHeight="1">
      <c r="A133" s="7"/>
      <c r="B133" s="7"/>
      <c r="C133" s="23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4.25" customHeight="1">
      <c r="A134" s="7"/>
      <c r="B134" s="7"/>
      <c r="C134" s="23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4.25" customHeight="1">
      <c r="A135" s="7"/>
      <c r="B135" s="7"/>
      <c r="C135" s="23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4.25" customHeight="1">
      <c r="A136" s="7"/>
      <c r="B136" s="7"/>
      <c r="C136" s="23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4.25" customHeight="1">
      <c r="A137" s="7"/>
      <c r="B137" s="7"/>
      <c r="C137" s="23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4.25" customHeight="1">
      <c r="A138" s="7"/>
      <c r="B138" s="7"/>
      <c r="C138" s="23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4.25" customHeight="1">
      <c r="A139" s="7"/>
      <c r="B139" s="7"/>
      <c r="C139" s="23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4.25" customHeight="1">
      <c r="A140" s="7"/>
      <c r="B140" s="7"/>
      <c r="C140" s="23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4.25" customHeight="1">
      <c r="A141" s="7"/>
      <c r="B141" s="7"/>
      <c r="C141" s="23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4.25" customHeight="1">
      <c r="A142" s="7"/>
      <c r="B142" s="7"/>
      <c r="C142" s="23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4.25" customHeight="1">
      <c r="A143" s="7"/>
      <c r="B143" s="7"/>
      <c r="C143" s="23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4.25" customHeight="1">
      <c r="A144" s="7"/>
      <c r="B144" s="7"/>
      <c r="C144" s="23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4.25" customHeight="1">
      <c r="A145" s="7"/>
      <c r="B145" s="7"/>
      <c r="C145" s="23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4.25" customHeight="1">
      <c r="A146" s="7"/>
      <c r="B146" s="7"/>
      <c r="C146" s="23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4.25" customHeight="1">
      <c r="A147" s="7"/>
      <c r="B147" s="7"/>
      <c r="C147" s="23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4.25" customHeight="1">
      <c r="A148" s="7"/>
      <c r="B148" s="7"/>
      <c r="C148" s="23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4.25" customHeight="1">
      <c r="A149" s="7"/>
      <c r="B149" s="7"/>
      <c r="C149" s="23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4.25" customHeight="1">
      <c r="A150" s="7"/>
      <c r="B150" s="7"/>
      <c r="C150" s="23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4.25" customHeight="1">
      <c r="A151" s="7"/>
      <c r="B151" s="7"/>
      <c r="C151" s="23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4.25" customHeight="1">
      <c r="A152" s="7"/>
      <c r="B152" s="7"/>
      <c r="C152" s="23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4.25" customHeight="1">
      <c r="A153" s="7"/>
      <c r="B153" s="7"/>
      <c r="C153" s="23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4.25" customHeight="1">
      <c r="A154" s="7"/>
      <c r="B154" s="7"/>
      <c r="C154" s="23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4.25" customHeight="1">
      <c r="A155" s="7"/>
      <c r="B155" s="7"/>
      <c r="C155" s="23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4.25" customHeight="1">
      <c r="A156" s="7"/>
      <c r="B156" s="7"/>
      <c r="C156" s="23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4.25" customHeight="1">
      <c r="A157" s="7"/>
      <c r="B157" s="7"/>
      <c r="C157" s="23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4.25" customHeight="1">
      <c r="A158" s="7"/>
      <c r="B158" s="7"/>
      <c r="C158" s="23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4.25" customHeight="1">
      <c r="A159" s="7"/>
      <c r="B159" s="7"/>
      <c r="C159" s="23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4.25" customHeight="1">
      <c r="A160" s="7"/>
      <c r="B160" s="7"/>
      <c r="C160" s="23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4.25" customHeight="1">
      <c r="A161" s="7"/>
      <c r="B161" s="7"/>
      <c r="C161" s="23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4.25" customHeight="1">
      <c r="A162" s="7"/>
      <c r="B162" s="7"/>
      <c r="C162" s="23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4.25" customHeight="1">
      <c r="A163" s="7"/>
      <c r="B163" s="7"/>
      <c r="C163" s="23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4.25" customHeight="1">
      <c r="A164" s="7"/>
      <c r="B164" s="7"/>
      <c r="C164" s="23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4.25" customHeight="1">
      <c r="A165" s="7"/>
      <c r="B165" s="7"/>
      <c r="C165" s="23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4.25" customHeight="1">
      <c r="A166" s="7"/>
      <c r="B166" s="7"/>
      <c r="C166" s="23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4.25" customHeight="1">
      <c r="A167" s="7"/>
      <c r="B167" s="7"/>
      <c r="C167" s="23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4.25" customHeight="1">
      <c r="A168" s="7"/>
      <c r="B168" s="7"/>
      <c r="C168" s="23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4.25" customHeight="1">
      <c r="A169" s="7"/>
      <c r="B169" s="7"/>
      <c r="C169" s="23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4.25" customHeight="1">
      <c r="A170" s="7"/>
      <c r="B170" s="7"/>
      <c r="C170" s="23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4.25" customHeight="1">
      <c r="A171" s="7"/>
      <c r="B171" s="7"/>
      <c r="C171" s="23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4.25" customHeight="1">
      <c r="A172" s="7"/>
      <c r="B172" s="7"/>
      <c r="C172" s="23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4.25" customHeight="1">
      <c r="A173" s="7"/>
      <c r="B173" s="7"/>
      <c r="C173" s="23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4.25" customHeight="1">
      <c r="A174" s="7"/>
      <c r="B174" s="7"/>
      <c r="C174" s="23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4.25" customHeight="1">
      <c r="A175" s="7"/>
      <c r="B175" s="7"/>
      <c r="C175" s="23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4.25" customHeight="1">
      <c r="A176" s="7"/>
      <c r="B176" s="7"/>
      <c r="C176" s="23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4.25" customHeight="1">
      <c r="A177" s="7"/>
      <c r="B177" s="7"/>
      <c r="C177" s="23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4.25" customHeight="1">
      <c r="A178" s="7"/>
      <c r="B178" s="7"/>
      <c r="C178" s="23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4.25" customHeight="1">
      <c r="A179" s="7"/>
      <c r="B179" s="7"/>
      <c r="C179" s="23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4.25" customHeight="1">
      <c r="A180" s="7"/>
      <c r="B180" s="7"/>
      <c r="C180" s="23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4.25" customHeight="1">
      <c r="A181" s="7"/>
      <c r="B181" s="7"/>
      <c r="C181" s="23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4.25" customHeight="1">
      <c r="A182" s="7"/>
      <c r="B182" s="7"/>
      <c r="C182" s="23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4.25" customHeight="1">
      <c r="A183" s="7"/>
      <c r="B183" s="7"/>
      <c r="C183" s="23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4.25" customHeight="1">
      <c r="A184" s="7"/>
      <c r="B184" s="7"/>
      <c r="C184" s="23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4.25" customHeight="1">
      <c r="A185" s="7"/>
      <c r="B185" s="7"/>
      <c r="C185" s="23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4.25" customHeight="1">
      <c r="A186" s="7"/>
      <c r="B186" s="7"/>
      <c r="C186" s="23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4.25" customHeight="1">
      <c r="A187" s="7"/>
      <c r="B187" s="7"/>
      <c r="C187" s="23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4.25" customHeight="1">
      <c r="A188" s="7"/>
      <c r="B188" s="7"/>
      <c r="C188" s="23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4.25" customHeight="1">
      <c r="A189" s="7"/>
      <c r="B189" s="7"/>
      <c r="C189" s="23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4.25" customHeight="1">
      <c r="A190" s="7"/>
      <c r="B190" s="7"/>
      <c r="C190" s="23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4.25" customHeight="1">
      <c r="A191" s="7"/>
      <c r="B191" s="7"/>
      <c r="C191" s="23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4.25" customHeight="1">
      <c r="A192" s="7"/>
      <c r="B192" s="7"/>
      <c r="C192" s="23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4.25" customHeight="1">
      <c r="A193" s="7"/>
      <c r="B193" s="7"/>
      <c r="C193" s="23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4.25" customHeight="1">
      <c r="A194" s="7"/>
      <c r="B194" s="7"/>
      <c r="C194" s="23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4.25" customHeight="1">
      <c r="A195" s="7"/>
      <c r="B195" s="7"/>
      <c r="C195" s="23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4.25" customHeight="1">
      <c r="A196" s="7"/>
      <c r="B196" s="7"/>
      <c r="C196" s="23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4.25" customHeight="1">
      <c r="A197" s="7"/>
      <c r="B197" s="7"/>
      <c r="C197" s="23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4.25" customHeight="1">
      <c r="A198" s="7"/>
      <c r="B198" s="7"/>
      <c r="C198" s="23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4.25" customHeight="1">
      <c r="A199" s="7"/>
      <c r="B199" s="7"/>
      <c r="C199" s="23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4.25" customHeight="1">
      <c r="A200" s="7"/>
      <c r="B200" s="7"/>
      <c r="C200" s="23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4.25" customHeight="1">
      <c r="A201" s="7"/>
      <c r="B201" s="7"/>
      <c r="C201" s="23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4.25" customHeight="1">
      <c r="A202" s="7"/>
      <c r="B202" s="7"/>
      <c r="C202" s="23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4.25" customHeight="1">
      <c r="A203" s="7"/>
      <c r="B203" s="7"/>
      <c r="C203" s="23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4.25" customHeight="1">
      <c r="A204" s="7"/>
      <c r="B204" s="7"/>
      <c r="C204" s="23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4.25" customHeight="1">
      <c r="A205" s="7"/>
      <c r="B205" s="7"/>
      <c r="C205" s="23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4.25" customHeight="1">
      <c r="A206" s="7"/>
      <c r="B206" s="7"/>
      <c r="C206" s="23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4.25" customHeight="1">
      <c r="A207" s="7"/>
      <c r="B207" s="7"/>
      <c r="C207" s="23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4.25" customHeight="1">
      <c r="A208" s="7"/>
      <c r="B208" s="7"/>
      <c r="C208" s="23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4.25" customHeight="1">
      <c r="A209" s="7"/>
      <c r="B209" s="7"/>
      <c r="C209" s="23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4.25" customHeight="1">
      <c r="A210" s="7"/>
      <c r="B210" s="7"/>
      <c r="C210" s="23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4.25" customHeight="1">
      <c r="A211" s="7"/>
      <c r="B211" s="7"/>
      <c r="C211" s="23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4.25" customHeight="1">
      <c r="A212" s="7"/>
      <c r="B212" s="7"/>
      <c r="C212" s="23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4.25" customHeight="1">
      <c r="A213" s="7"/>
      <c r="B213" s="7"/>
      <c r="C213" s="23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4.25" customHeight="1">
      <c r="A214" s="7"/>
      <c r="B214" s="7"/>
      <c r="C214" s="23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4.25" customHeight="1">
      <c r="A215" s="7"/>
      <c r="B215" s="7"/>
      <c r="C215" s="23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4.25" customHeight="1">
      <c r="A216" s="7"/>
      <c r="B216" s="7"/>
      <c r="C216" s="23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4.25" customHeight="1">
      <c r="A217" s="7"/>
      <c r="B217" s="7"/>
      <c r="C217" s="23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4.25" customHeight="1">
      <c r="A218" s="7"/>
      <c r="B218" s="7"/>
      <c r="C218" s="23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4.25" customHeight="1">
      <c r="A219" s="7"/>
      <c r="B219" s="7"/>
      <c r="C219" s="23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4.25" customHeight="1">
      <c r="A220" s="7"/>
      <c r="B220" s="7"/>
      <c r="C220" s="23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4.25" customHeight="1">
      <c r="A221" s="7"/>
      <c r="B221" s="7"/>
      <c r="C221" s="23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4.25" customHeight="1">
      <c r="A222" s="7"/>
      <c r="B222" s="7"/>
      <c r="C222" s="23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4.25" customHeight="1">
      <c r="A223" s="7"/>
      <c r="B223" s="7"/>
      <c r="C223" s="23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4.25" customHeight="1">
      <c r="A224" s="7"/>
      <c r="B224" s="7"/>
      <c r="C224" s="23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4.25" customHeight="1">
      <c r="A225" s="7"/>
      <c r="B225" s="7"/>
      <c r="C225" s="23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4.25" customHeight="1">
      <c r="A226" s="7"/>
      <c r="B226" s="7"/>
      <c r="C226" s="23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4.25" customHeight="1">
      <c r="A227" s="7"/>
      <c r="B227" s="7"/>
      <c r="C227" s="23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4.25" customHeight="1">
      <c r="A228" s="7"/>
      <c r="B228" s="7"/>
      <c r="C228" s="23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4.25" customHeight="1">
      <c r="A229" s="7"/>
      <c r="B229" s="7"/>
      <c r="C229" s="23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4.25" customHeight="1">
      <c r="A230" s="7"/>
      <c r="B230" s="7"/>
      <c r="C230" s="23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4.25" customHeight="1">
      <c r="A231" s="7"/>
      <c r="B231" s="7"/>
      <c r="C231" s="23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4.25" customHeight="1">
      <c r="A232" s="7"/>
      <c r="B232" s="7"/>
      <c r="C232" s="23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4.25" customHeight="1">
      <c r="A233" s="7"/>
      <c r="B233" s="7"/>
      <c r="C233" s="23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4.25" customHeight="1">
      <c r="A234" s="7"/>
      <c r="B234" s="7"/>
      <c r="C234" s="23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4.25" customHeight="1">
      <c r="A235" s="7"/>
      <c r="B235" s="7"/>
      <c r="C235" s="23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4.25" customHeight="1">
      <c r="A236" s="7"/>
      <c r="B236" s="7"/>
      <c r="C236" s="23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4.25" customHeight="1">
      <c r="A237" s="7"/>
      <c r="B237" s="7"/>
      <c r="C237" s="23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4.25" customHeight="1">
      <c r="A238" s="7"/>
      <c r="B238" s="7"/>
      <c r="C238" s="23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4.25" customHeight="1">
      <c r="A239" s="7"/>
      <c r="B239" s="7"/>
      <c r="C239" s="23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4.25" customHeight="1">
      <c r="A240" s="7"/>
      <c r="B240" s="7"/>
      <c r="C240" s="23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4.25" customHeight="1">
      <c r="A241" s="7"/>
      <c r="B241" s="7"/>
      <c r="C241" s="23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4.25" customHeight="1">
      <c r="A242" s="7"/>
      <c r="B242" s="7"/>
      <c r="C242" s="23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4.25" customHeight="1">
      <c r="A243" s="7"/>
      <c r="B243" s="7"/>
      <c r="C243" s="23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4.25" customHeight="1">
      <c r="A244" s="7"/>
      <c r="B244" s="7"/>
      <c r="C244" s="23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4.25" customHeight="1">
      <c r="A245" s="7"/>
      <c r="B245" s="7"/>
      <c r="C245" s="23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4.25" customHeight="1">
      <c r="A246" s="7"/>
      <c r="B246" s="7"/>
      <c r="C246" s="23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4.25" customHeight="1">
      <c r="A247" s="7"/>
      <c r="B247" s="7"/>
      <c r="C247" s="23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4.25" customHeight="1">
      <c r="A248" s="7"/>
      <c r="B248" s="7"/>
      <c r="C248" s="23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4.25" customHeight="1">
      <c r="A249" s="7"/>
      <c r="B249" s="7"/>
      <c r="C249" s="23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4.25" customHeight="1">
      <c r="A250" s="7"/>
      <c r="B250" s="7"/>
      <c r="C250" s="23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4.25" customHeight="1">
      <c r="A251" s="7"/>
      <c r="B251" s="7"/>
      <c r="C251" s="23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4.25" customHeight="1">
      <c r="A252" s="7"/>
      <c r="B252" s="7"/>
      <c r="C252" s="23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4.25" customHeight="1">
      <c r="A253" s="7"/>
      <c r="B253" s="7"/>
      <c r="C253" s="23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4.25" customHeight="1">
      <c r="A254" s="7"/>
      <c r="B254" s="7"/>
      <c r="C254" s="23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4.25" customHeight="1">
      <c r="A255" s="7"/>
      <c r="B255" s="7"/>
      <c r="C255" s="23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4.25" customHeight="1">
      <c r="A256" s="7"/>
      <c r="B256" s="7"/>
      <c r="C256" s="23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4.25" customHeight="1">
      <c r="A257" s="7"/>
      <c r="B257" s="7"/>
      <c r="C257" s="23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4.25" customHeight="1">
      <c r="A258" s="7"/>
      <c r="B258" s="7"/>
      <c r="C258" s="23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4.25" customHeight="1">
      <c r="A259" s="7"/>
      <c r="B259" s="7"/>
      <c r="C259" s="23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4.25" customHeight="1">
      <c r="A260" s="7"/>
      <c r="B260" s="7"/>
      <c r="C260" s="23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4.25" customHeight="1">
      <c r="A261" s="7"/>
      <c r="B261" s="7"/>
      <c r="C261" s="23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4.25" customHeight="1">
      <c r="A262" s="7"/>
      <c r="B262" s="7"/>
      <c r="C262" s="23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4.25" customHeight="1">
      <c r="A263" s="7"/>
      <c r="B263" s="7"/>
      <c r="C263" s="23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4.25" customHeight="1">
      <c r="A264" s="7"/>
      <c r="B264" s="7"/>
      <c r="C264" s="23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4.25" customHeight="1">
      <c r="A265" s="7"/>
      <c r="B265" s="7"/>
      <c r="C265" s="23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4.25" customHeight="1">
      <c r="A266" s="7"/>
      <c r="B266" s="7"/>
      <c r="C266" s="23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4.25" customHeight="1">
      <c r="A267" s="7"/>
      <c r="B267" s="7"/>
      <c r="C267" s="23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4.25" customHeight="1">
      <c r="A268" s="7"/>
      <c r="B268" s="7"/>
      <c r="C268" s="23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4.25" customHeight="1">
      <c r="A269" s="7"/>
      <c r="B269" s="7"/>
      <c r="C269" s="23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4.25" customHeight="1">
      <c r="A270" s="7"/>
      <c r="B270" s="7"/>
      <c r="C270" s="23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4.25" customHeight="1">
      <c r="A271" s="7"/>
      <c r="B271" s="7"/>
      <c r="C271" s="23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4.25" customHeight="1">
      <c r="A272" s="7"/>
      <c r="B272" s="7"/>
      <c r="C272" s="23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4.25" customHeight="1">
      <c r="A273" s="7"/>
      <c r="B273" s="7"/>
      <c r="C273" s="23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4.25" customHeight="1">
      <c r="A274" s="7"/>
      <c r="B274" s="7"/>
      <c r="C274" s="23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4.25" customHeight="1">
      <c r="A275" s="7"/>
      <c r="B275" s="7"/>
      <c r="C275" s="23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4.25" customHeight="1">
      <c r="A276" s="7"/>
      <c r="B276" s="7"/>
      <c r="C276" s="23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4.25" customHeight="1">
      <c r="A277" s="7"/>
      <c r="B277" s="7"/>
      <c r="C277" s="23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4.25" customHeight="1">
      <c r="A278" s="7"/>
      <c r="B278" s="7"/>
      <c r="C278" s="23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4.25" customHeight="1">
      <c r="A279" s="7"/>
      <c r="B279" s="7"/>
      <c r="C279" s="23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4.25" customHeight="1">
      <c r="A280" s="7"/>
      <c r="B280" s="7"/>
      <c r="C280" s="23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4.25" customHeight="1">
      <c r="A281" s="7"/>
      <c r="B281" s="7"/>
      <c r="C281" s="23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4.25" customHeight="1">
      <c r="A282" s="7"/>
      <c r="B282" s="7"/>
      <c r="C282" s="23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4.25" customHeight="1">
      <c r="A283" s="7"/>
      <c r="B283" s="7"/>
      <c r="C283" s="23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4.25" customHeight="1">
      <c r="A284" s="7"/>
      <c r="B284" s="7"/>
      <c r="C284" s="23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4.25" customHeight="1">
      <c r="A285" s="7"/>
      <c r="B285" s="7"/>
      <c r="C285" s="23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4.25" customHeight="1">
      <c r="A286" s="7"/>
      <c r="B286" s="7"/>
      <c r="C286" s="23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4.25" customHeight="1">
      <c r="A287" s="7"/>
      <c r="B287" s="7"/>
      <c r="C287" s="23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4.25" customHeight="1">
      <c r="A288" s="7"/>
      <c r="B288" s="7"/>
      <c r="C288" s="23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4.25" customHeight="1">
      <c r="A289" s="7"/>
      <c r="B289" s="7"/>
      <c r="C289" s="23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4.25" customHeight="1">
      <c r="A290" s="7"/>
      <c r="B290" s="7"/>
      <c r="C290" s="23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4.25" customHeight="1">
      <c r="A291" s="7"/>
      <c r="B291" s="7"/>
      <c r="C291" s="23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4.25" customHeight="1">
      <c r="A292" s="7"/>
      <c r="B292" s="7"/>
      <c r="C292" s="23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4.25" customHeight="1">
      <c r="A293" s="7"/>
      <c r="B293" s="7"/>
      <c r="C293" s="23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4.25" customHeight="1">
      <c r="A294" s="7"/>
      <c r="B294" s="7"/>
      <c r="C294" s="23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4.25" customHeight="1">
      <c r="A295" s="7"/>
      <c r="B295" s="7"/>
      <c r="C295" s="23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4.25" customHeight="1">
      <c r="A296" s="7"/>
      <c r="B296" s="7"/>
      <c r="C296" s="23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4.25" customHeight="1">
      <c r="A297" s="7"/>
      <c r="B297" s="7"/>
      <c r="C297" s="23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4.25" customHeight="1">
      <c r="A298" s="7"/>
      <c r="B298" s="7"/>
      <c r="C298" s="23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4.25" customHeight="1">
      <c r="A299" s="7"/>
      <c r="B299" s="7"/>
      <c r="C299" s="23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4.25" customHeight="1">
      <c r="A300" s="7"/>
      <c r="B300" s="7"/>
      <c r="C300" s="23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4.25" customHeight="1">
      <c r="A301" s="7"/>
      <c r="B301" s="7"/>
      <c r="C301" s="23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4.25" customHeight="1">
      <c r="A302" s="7"/>
      <c r="B302" s="7"/>
      <c r="C302" s="23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4.25" customHeight="1">
      <c r="A303" s="7"/>
      <c r="B303" s="7"/>
      <c r="C303" s="23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4.25" customHeight="1">
      <c r="A304" s="7"/>
      <c r="B304" s="7"/>
      <c r="C304" s="23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4.25" customHeight="1">
      <c r="A305" s="7"/>
      <c r="B305" s="7"/>
      <c r="C305" s="23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4.25" customHeight="1">
      <c r="A306" s="7"/>
      <c r="B306" s="7"/>
      <c r="C306" s="23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4.25" customHeight="1">
      <c r="A307" s="7"/>
      <c r="B307" s="7"/>
      <c r="C307" s="23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4.25" customHeight="1">
      <c r="A308" s="7"/>
      <c r="B308" s="7"/>
      <c r="C308" s="23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4.25" customHeight="1">
      <c r="A309" s="7"/>
      <c r="B309" s="7"/>
      <c r="C309" s="23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4.25" customHeight="1">
      <c r="A310" s="7"/>
      <c r="B310" s="7"/>
      <c r="C310" s="23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4.25" customHeight="1">
      <c r="A311" s="7"/>
      <c r="B311" s="7"/>
      <c r="C311" s="23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4.25" customHeight="1">
      <c r="A312" s="7"/>
      <c r="B312" s="7"/>
      <c r="C312" s="23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4.25" customHeight="1">
      <c r="A313" s="7"/>
      <c r="B313" s="7"/>
      <c r="C313" s="23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4.25" customHeight="1">
      <c r="A314" s="7"/>
      <c r="B314" s="7"/>
      <c r="C314" s="23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4.25" customHeight="1">
      <c r="A315" s="7"/>
      <c r="B315" s="7"/>
      <c r="C315" s="23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4.25" customHeight="1">
      <c r="A316" s="7"/>
      <c r="B316" s="7"/>
      <c r="C316" s="23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4.25" customHeight="1">
      <c r="A317" s="7"/>
      <c r="B317" s="7"/>
      <c r="C317" s="23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4.25" customHeight="1">
      <c r="A318" s="7"/>
      <c r="B318" s="7"/>
      <c r="C318" s="23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4.25" customHeight="1">
      <c r="A319" s="7"/>
      <c r="B319" s="7"/>
      <c r="C319" s="23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4.25" customHeight="1">
      <c r="A320" s="7"/>
      <c r="B320" s="7"/>
      <c r="C320" s="23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4.25" customHeight="1">
      <c r="A321" s="7"/>
      <c r="B321" s="7"/>
      <c r="C321" s="23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4.25" customHeight="1">
      <c r="A322" s="7"/>
      <c r="B322" s="7"/>
      <c r="C322" s="23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4.25" customHeight="1">
      <c r="A323" s="7"/>
      <c r="B323" s="7"/>
      <c r="C323" s="23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4.25" customHeight="1">
      <c r="A324" s="7"/>
      <c r="B324" s="7"/>
      <c r="C324" s="23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4.25" customHeight="1">
      <c r="A325" s="7"/>
      <c r="B325" s="7"/>
      <c r="C325" s="23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4.25" customHeight="1">
      <c r="A326" s="7"/>
      <c r="B326" s="7"/>
      <c r="C326" s="23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4.25" customHeight="1">
      <c r="A327" s="7"/>
      <c r="B327" s="7"/>
      <c r="C327" s="23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4.25" customHeight="1">
      <c r="A328" s="7"/>
      <c r="B328" s="7"/>
      <c r="C328" s="23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4.25" customHeight="1">
      <c r="A329" s="7"/>
      <c r="B329" s="7"/>
      <c r="C329" s="23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4.25" customHeight="1">
      <c r="A330" s="7"/>
      <c r="B330" s="7"/>
      <c r="C330" s="23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4.25" customHeight="1">
      <c r="A331" s="7"/>
      <c r="B331" s="7"/>
      <c r="C331" s="23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4.25" customHeight="1">
      <c r="A332" s="7"/>
      <c r="B332" s="7"/>
      <c r="C332" s="23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4.25" customHeight="1">
      <c r="A333" s="7"/>
      <c r="B333" s="7"/>
      <c r="C333" s="23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4.25" customHeight="1">
      <c r="A334" s="7"/>
      <c r="B334" s="7"/>
      <c r="C334" s="23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4.25" customHeight="1">
      <c r="A335" s="7"/>
      <c r="B335" s="7"/>
      <c r="C335" s="23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4.25" customHeight="1">
      <c r="A336" s="7"/>
      <c r="B336" s="7"/>
      <c r="C336" s="23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4.25" customHeight="1">
      <c r="A337" s="7"/>
      <c r="B337" s="7"/>
      <c r="C337" s="23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4.25" customHeight="1">
      <c r="A338" s="7"/>
      <c r="B338" s="7"/>
      <c r="C338" s="23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4.25" customHeight="1">
      <c r="A339" s="7"/>
      <c r="B339" s="7"/>
      <c r="C339" s="23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4.25" customHeight="1">
      <c r="A340" s="7"/>
      <c r="B340" s="7"/>
      <c r="C340" s="23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4.25" customHeight="1">
      <c r="A341" s="7"/>
      <c r="B341" s="7"/>
      <c r="C341" s="23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4.25" customHeight="1">
      <c r="A342" s="7"/>
      <c r="B342" s="7"/>
      <c r="C342" s="23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4.25" customHeight="1">
      <c r="A343" s="7"/>
      <c r="B343" s="7"/>
      <c r="C343" s="23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4.25" customHeight="1">
      <c r="A344" s="7"/>
      <c r="B344" s="7"/>
      <c r="C344" s="23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4.25" customHeight="1">
      <c r="A345" s="7"/>
      <c r="B345" s="7"/>
      <c r="C345" s="23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4.25" customHeight="1">
      <c r="A346" s="7"/>
      <c r="B346" s="7"/>
      <c r="C346" s="23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4.25" customHeight="1">
      <c r="A347" s="7"/>
      <c r="B347" s="7"/>
      <c r="C347" s="23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4.25" customHeight="1">
      <c r="A348" s="7"/>
      <c r="B348" s="7"/>
      <c r="C348" s="23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4.25" customHeight="1">
      <c r="A349" s="7"/>
      <c r="B349" s="7"/>
      <c r="C349" s="23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4.25" customHeight="1">
      <c r="A350" s="7"/>
      <c r="B350" s="7"/>
      <c r="C350" s="23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4.25" customHeight="1">
      <c r="A351" s="7"/>
      <c r="B351" s="7"/>
      <c r="C351" s="23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4.25" customHeight="1">
      <c r="A352" s="7"/>
      <c r="B352" s="7"/>
      <c r="C352" s="23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4.25" customHeight="1">
      <c r="A353" s="7"/>
      <c r="B353" s="7"/>
      <c r="C353" s="23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4.25" customHeight="1">
      <c r="A354" s="7"/>
      <c r="B354" s="7"/>
      <c r="C354" s="23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4.25" customHeight="1">
      <c r="A355" s="7"/>
      <c r="B355" s="7"/>
      <c r="C355" s="23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4.25" customHeight="1">
      <c r="A356" s="7"/>
      <c r="B356" s="7"/>
      <c r="C356" s="23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4.25" customHeight="1">
      <c r="A357" s="7"/>
      <c r="B357" s="7"/>
      <c r="C357" s="23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4.25" customHeight="1">
      <c r="A358" s="7"/>
      <c r="B358" s="7"/>
      <c r="C358" s="23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4.25" customHeight="1">
      <c r="A359" s="7"/>
      <c r="B359" s="7"/>
      <c r="C359" s="23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4.25" customHeight="1">
      <c r="A360" s="7"/>
      <c r="B360" s="7"/>
      <c r="C360" s="23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4.25" customHeight="1">
      <c r="A361" s="7"/>
      <c r="B361" s="7"/>
      <c r="C361" s="23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4.25" customHeight="1">
      <c r="A362" s="7"/>
      <c r="B362" s="7"/>
      <c r="C362" s="23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4.25" customHeight="1">
      <c r="A363" s="7"/>
      <c r="B363" s="7"/>
      <c r="C363" s="23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4.25" customHeight="1">
      <c r="A364" s="7"/>
      <c r="B364" s="7"/>
      <c r="C364" s="23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4.25" customHeight="1">
      <c r="A365" s="7"/>
      <c r="B365" s="7"/>
      <c r="C365" s="23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4.25" customHeight="1">
      <c r="A366" s="7"/>
      <c r="B366" s="7"/>
      <c r="C366" s="23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4.25" customHeight="1">
      <c r="A367" s="7"/>
      <c r="B367" s="7"/>
      <c r="C367" s="23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4.25" customHeight="1">
      <c r="A368" s="7"/>
      <c r="B368" s="7"/>
      <c r="C368" s="23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4.25" customHeight="1">
      <c r="A369" s="7"/>
      <c r="B369" s="7"/>
      <c r="C369" s="23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4.25" customHeight="1">
      <c r="A370" s="7"/>
      <c r="B370" s="7"/>
      <c r="C370" s="23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4.25" customHeight="1">
      <c r="A371" s="7"/>
      <c r="B371" s="7"/>
      <c r="C371" s="23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4.25" customHeight="1">
      <c r="A372" s="7"/>
      <c r="B372" s="7"/>
      <c r="C372" s="23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4.25" customHeight="1">
      <c r="A373" s="7"/>
      <c r="B373" s="7"/>
      <c r="C373" s="23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4.25" customHeight="1">
      <c r="A374" s="7"/>
      <c r="B374" s="7"/>
      <c r="C374" s="23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4.25" customHeight="1">
      <c r="A375" s="7"/>
      <c r="B375" s="7"/>
      <c r="C375" s="23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4.25" customHeight="1">
      <c r="A376" s="7"/>
      <c r="B376" s="7"/>
      <c r="C376" s="23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4.25" customHeight="1">
      <c r="A377" s="7"/>
      <c r="B377" s="7"/>
      <c r="C377" s="23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4.25" customHeight="1">
      <c r="A378" s="7"/>
      <c r="B378" s="7"/>
      <c r="C378" s="23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4.25" customHeight="1">
      <c r="A379" s="7"/>
      <c r="B379" s="7"/>
      <c r="C379" s="23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4.25" customHeight="1">
      <c r="A380" s="7"/>
      <c r="B380" s="7"/>
      <c r="C380" s="23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4.25" customHeight="1">
      <c r="A381" s="7"/>
      <c r="B381" s="7"/>
      <c r="C381" s="23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4.25" customHeight="1">
      <c r="A382" s="7"/>
      <c r="B382" s="7"/>
      <c r="C382" s="23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4.25" customHeight="1">
      <c r="A383" s="7"/>
      <c r="B383" s="7"/>
      <c r="C383" s="23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4.25" customHeight="1">
      <c r="A384" s="7"/>
      <c r="B384" s="7"/>
      <c r="C384" s="23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4.25" customHeight="1">
      <c r="A385" s="7"/>
      <c r="B385" s="7"/>
      <c r="C385" s="23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4.25" customHeight="1">
      <c r="A386" s="7"/>
      <c r="B386" s="7"/>
      <c r="C386" s="23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4.25" customHeight="1">
      <c r="A387" s="7"/>
      <c r="B387" s="7"/>
      <c r="C387" s="23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4.25" customHeight="1">
      <c r="A388" s="7"/>
      <c r="B388" s="7"/>
      <c r="C388" s="23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4.25" customHeight="1">
      <c r="A389" s="7"/>
      <c r="B389" s="7"/>
      <c r="C389" s="23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4.25" customHeight="1">
      <c r="A390" s="7"/>
      <c r="B390" s="7"/>
      <c r="C390" s="23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4.25" customHeight="1">
      <c r="A391" s="7"/>
      <c r="B391" s="7"/>
      <c r="C391" s="23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4.25" customHeight="1">
      <c r="A392" s="7"/>
      <c r="B392" s="7"/>
      <c r="C392" s="23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4.25" customHeight="1">
      <c r="A393" s="7"/>
      <c r="B393" s="7"/>
      <c r="C393" s="23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4.25" customHeight="1">
      <c r="A394" s="7"/>
      <c r="B394" s="7"/>
      <c r="C394" s="23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4.25" customHeight="1">
      <c r="A395" s="7"/>
      <c r="B395" s="7"/>
      <c r="C395" s="23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4.25" customHeight="1">
      <c r="A396" s="7"/>
      <c r="B396" s="7"/>
      <c r="C396" s="23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4.25" customHeight="1">
      <c r="A397" s="7"/>
      <c r="B397" s="7"/>
      <c r="C397" s="23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4.25" customHeight="1">
      <c r="A398" s="7"/>
      <c r="B398" s="7"/>
      <c r="C398" s="23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4.25" customHeight="1">
      <c r="A399" s="7"/>
      <c r="B399" s="7"/>
      <c r="C399" s="23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4.25" customHeight="1">
      <c r="A400" s="7"/>
      <c r="B400" s="7"/>
      <c r="C400" s="23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4.25" customHeight="1">
      <c r="A401" s="7"/>
      <c r="B401" s="7"/>
      <c r="C401" s="23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4.25" customHeight="1">
      <c r="A402" s="7"/>
      <c r="B402" s="7"/>
      <c r="C402" s="23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4.25" customHeight="1">
      <c r="A403" s="7"/>
      <c r="B403" s="7"/>
      <c r="C403" s="23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4.25" customHeight="1">
      <c r="A404" s="7"/>
      <c r="B404" s="7"/>
      <c r="C404" s="23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4.25" customHeight="1">
      <c r="A405" s="7"/>
      <c r="B405" s="7"/>
      <c r="C405" s="23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4.25" customHeight="1">
      <c r="A406" s="7"/>
      <c r="B406" s="7"/>
      <c r="C406" s="23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4.25" customHeight="1">
      <c r="A407" s="7"/>
      <c r="B407" s="7"/>
      <c r="C407" s="23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4.25" customHeight="1">
      <c r="A408" s="7"/>
      <c r="B408" s="7"/>
      <c r="C408" s="23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4.25" customHeight="1">
      <c r="A409" s="7"/>
      <c r="B409" s="7"/>
      <c r="C409" s="23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4.25" customHeight="1">
      <c r="A410" s="7"/>
      <c r="B410" s="7"/>
      <c r="C410" s="23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4.25" customHeight="1">
      <c r="A411" s="7"/>
      <c r="B411" s="7"/>
      <c r="C411" s="23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4.25" customHeight="1">
      <c r="A412" s="7"/>
      <c r="B412" s="7"/>
      <c r="C412" s="23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4.25" customHeight="1">
      <c r="A413" s="7"/>
      <c r="B413" s="7"/>
      <c r="C413" s="23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4.25" customHeight="1">
      <c r="A414" s="7"/>
      <c r="B414" s="7"/>
      <c r="C414" s="23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4.25" customHeight="1">
      <c r="A415" s="7"/>
      <c r="B415" s="7"/>
      <c r="C415" s="23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4.25" customHeight="1">
      <c r="A416" s="7"/>
      <c r="B416" s="7"/>
      <c r="C416" s="23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4.25" customHeight="1">
      <c r="A417" s="7"/>
      <c r="B417" s="7"/>
      <c r="C417" s="23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4.25" customHeight="1">
      <c r="A418" s="7"/>
      <c r="B418" s="7"/>
      <c r="C418" s="23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4.25" customHeight="1">
      <c r="A419" s="7"/>
      <c r="B419" s="7"/>
      <c r="C419" s="23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4.25" customHeight="1">
      <c r="A420" s="7"/>
      <c r="B420" s="7"/>
      <c r="C420" s="23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4.25" customHeight="1">
      <c r="A421" s="7"/>
      <c r="B421" s="7"/>
      <c r="C421" s="23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4.25" customHeight="1">
      <c r="A422" s="7"/>
      <c r="B422" s="7"/>
      <c r="C422" s="23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4.25" customHeight="1">
      <c r="A423" s="7"/>
      <c r="B423" s="7"/>
      <c r="C423" s="23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4.25" customHeight="1">
      <c r="A424" s="7"/>
      <c r="B424" s="7"/>
      <c r="C424" s="23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4.25" customHeight="1">
      <c r="A425" s="7"/>
      <c r="B425" s="7"/>
      <c r="C425" s="23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4.25" customHeight="1">
      <c r="A426" s="7"/>
      <c r="B426" s="7"/>
      <c r="C426" s="23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4.25" customHeight="1">
      <c r="A427" s="7"/>
      <c r="B427" s="7"/>
      <c r="C427" s="23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4.25" customHeight="1">
      <c r="A428" s="7"/>
      <c r="B428" s="7"/>
      <c r="C428" s="23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4.25" customHeight="1">
      <c r="A429" s="7"/>
      <c r="B429" s="7"/>
      <c r="C429" s="23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4.25" customHeight="1">
      <c r="A430" s="7"/>
      <c r="B430" s="7"/>
      <c r="C430" s="23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4.25" customHeight="1">
      <c r="A431" s="7"/>
      <c r="B431" s="7"/>
      <c r="C431" s="23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4.25" customHeight="1">
      <c r="A432" s="7"/>
      <c r="B432" s="7"/>
      <c r="C432" s="23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4.25" customHeight="1">
      <c r="A433" s="7"/>
      <c r="B433" s="7"/>
      <c r="C433" s="23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4.25" customHeight="1">
      <c r="A434" s="7"/>
      <c r="B434" s="7"/>
      <c r="C434" s="23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4.25" customHeight="1">
      <c r="A435" s="7"/>
      <c r="B435" s="7"/>
      <c r="C435" s="23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4.25" customHeight="1">
      <c r="A436" s="7"/>
      <c r="B436" s="7"/>
      <c r="C436" s="23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4.25" customHeight="1">
      <c r="A437" s="7"/>
      <c r="B437" s="7"/>
      <c r="C437" s="23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4.25" customHeight="1">
      <c r="A438" s="7"/>
      <c r="B438" s="7"/>
      <c r="C438" s="23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4.25" customHeight="1">
      <c r="A439" s="7"/>
      <c r="B439" s="7"/>
      <c r="C439" s="23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4.25" customHeight="1">
      <c r="A440" s="7"/>
      <c r="B440" s="7"/>
      <c r="C440" s="23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4.25" customHeight="1">
      <c r="A441" s="7"/>
      <c r="B441" s="7"/>
      <c r="C441" s="23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4.25" customHeight="1">
      <c r="A442" s="7"/>
      <c r="B442" s="7"/>
      <c r="C442" s="23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4.25" customHeight="1">
      <c r="A443" s="7"/>
      <c r="B443" s="7"/>
      <c r="C443" s="23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4.25" customHeight="1">
      <c r="A444" s="7"/>
      <c r="B444" s="7"/>
      <c r="C444" s="23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4.25" customHeight="1">
      <c r="A445" s="7"/>
      <c r="B445" s="7"/>
      <c r="C445" s="23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4.25" customHeight="1">
      <c r="A446" s="7"/>
      <c r="B446" s="7"/>
      <c r="C446" s="23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4.25" customHeight="1">
      <c r="A447" s="7"/>
      <c r="B447" s="7"/>
      <c r="C447" s="23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4.25" customHeight="1">
      <c r="A448" s="7"/>
      <c r="B448" s="7"/>
      <c r="C448" s="23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4.25" customHeight="1">
      <c r="A449" s="7"/>
      <c r="B449" s="7"/>
      <c r="C449" s="23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4.25" customHeight="1">
      <c r="A450" s="7"/>
      <c r="B450" s="7"/>
      <c r="C450" s="23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4.25" customHeight="1">
      <c r="A451" s="7"/>
      <c r="B451" s="7"/>
      <c r="C451" s="23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4.25" customHeight="1">
      <c r="A452" s="7"/>
      <c r="B452" s="7"/>
      <c r="C452" s="23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4.25" customHeight="1">
      <c r="A453" s="7"/>
      <c r="B453" s="7"/>
      <c r="C453" s="23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4.25" customHeight="1">
      <c r="A454" s="7"/>
      <c r="B454" s="7"/>
      <c r="C454" s="23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4.25" customHeight="1">
      <c r="A455" s="7"/>
      <c r="B455" s="7"/>
      <c r="C455" s="23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4.25" customHeight="1">
      <c r="A456" s="7"/>
      <c r="B456" s="7"/>
      <c r="C456" s="23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4.25" customHeight="1">
      <c r="A457" s="7"/>
      <c r="B457" s="7"/>
      <c r="C457" s="23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4.25" customHeight="1">
      <c r="A458" s="7"/>
      <c r="B458" s="7"/>
      <c r="C458" s="23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4.25" customHeight="1">
      <c r="A459" s="7"/>
      <c r="B459" s="7"/>
      <c r="C459" s="23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4.25" customHeight="1">
      <c r="A460" s="7"/>
      <c r="B460" s="7"/>
      <c r="C460" s="23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4.25" customHeight="1">
      <c r="A461" s="7"/>
      <c r="B461" s="7"/>
      <c r="C461" s="23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4.25" customHeight="1">
      <c r="A462" s="7"/>
      <c r="B462" s="7"/>
      <c r="C462" s="23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4.25" customHeight="1">
      <c r="A463" s="7"/>
      <c r="B463" s="7"/>
      <c r="C463" s="23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4.25" customHeight="1">
      <c r="A464" s="7"/>
      <c r="B464" s="7"/>
      <c r="C464" s="23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4.25" customHeight="1">
      <c r="A465" s="7"/>
      <c r="B465" s="7"/>
      <c r="C465" s="23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4.25" customHeight="1">
      <c r="A466" s="7"/>
      <c r="B466" s="7"/>
      <c r="C466" s="23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4.25" customHeight="1">
      <c r="A467" s="7"/>
      <c r="B467" s="7"/>
      <c r="C467" s="23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4.25" customHeight="1">
      <c r="A468" s="7"/>
      <c r="B468" s="7"/>
      <c r="C468" s="23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4.25" customHeight="1">
      <c r="A469" s="7"/>
      <c r="B469" s="7"/>
      <c r="C469" s="23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4.25" customHeight="1">
      <c r="A470" s="7"/>
      <c r="B470" s="7"/>
      <c r="C470" s="23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4.25" customHeight="1">
      <c r="A471" s="7"/>
      <c r="B471" s="7"/>
      <c r="C471" s="23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4.25" customHeight="1">
      <c r="A472" s="7"/>
      <c r="B472" s="7"/>
      <c r="C472" s="23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4.25" customHeight="1">
      <c r="A473" s="7"/>
      <c r="B473" s="7"/>
      <c r="C473" s="23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4.25" customHeight="1">
      <c r="A474" s="7"/>
      <c r="B474" s="7"/>
      <c r="C474" s="23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4.25" customHeight="1">
      <c r="A475" s="7"/>
      <c r="B475" s="7"/>
      <c r="C475" s="23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4.25" customHeight="1">
      <c r="A476" s="7"/>
      <c r="B476" s="7"/>
      <c r="C476" s="23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4.25" customHeight="1">
      <c r="A477" s="7"/>
      <c r="B477" s="7"/>
      <c r="C477" s="23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4.25" customHeight="1">
      <c r="A478" s="7"/>
      <c r="B478" s="7"/>
      <c r="C478" s="23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4.25" customHeight="1">
      <c r="A479" s="7"/>
      <c r="B479" s="7"/>
      <c r="C479" s="23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4.25" customHeight="1">
      <c r="A480" s="7"/>
      <c r="B480" s="7"/>
      <c r="C480" s="23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4.25" customHeight="1">
      <c r="A481" s="7"/>
      <c r="B481" s="7"/>
      <c r="C481" s="23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4.25" customHeight="1">
      <c r="A482" s="7"/>
      <c r="B482" s="7"/>
      <c r="C482" s="23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4.25" customHeight="1">
      <c r="A483" s="7"/>
      <c r="B483" s="7"/>
      <c r="C483" s="23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4.25" customHeight="1">
      <c r="A484" s="7"/>
      <c r="B484" s="7"/>
      <c r="C484" s="23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4.25" customHeight="1">
      <c r="A485" s="7"/>
      <c r="B485" s="7"/>
      <c r="C485" s="23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4.25" customHeight="1">
      <c r="A486" s="7"/>
      <c r="B486" s="7"/>
      <c r="C486" s="23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4.25" customHeight="1">
      <c r="A487" s="7"/>
      <c r="B487" s="7"/>
      <c r="C487" s="23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4.25" customHeight="1">
      <c r="A488" s="7"/>
      <c r="B488" s="7"/>
      <c r="C488" s="23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4.25" customHeight="1">
      <c r="A489" s="7"/>
      <c r="B489" s="7"/>
      <c r="C489" s="23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4.25" customHeight="1">
      <c r="A490" s="7"/>
      <c r="B490" s="7"/>
      <c r="C490" s="23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4.25" customHeight="1">
      <c r="A491" s="7"/>
      <c r="B491" s="7"/>
      <c r="C491" s="23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4.25" customHeight="1">
      <c r="A492" s="7"/>
      <c r="B492" s="7"/>
      <c r="C492" s="23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4.25" customHeight="1">
      <c r="A493" s="7"/>
      <c r="B493" s="7"/>
      <c r="C493" s="23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4.25" customHeight="1">
      <c r="A494" s="7"/>
      <c r="B494" s="7"/>
      <c r="C494" s="23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4.25" customHeight="1">
      <c r="A495" s="7"/>
      <c r="B495" s="7"/>
      <c r="C495" s="23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4.25" customHeight="1">
      <c r="A496" s="7"/>
      <c r="B496" s="7"/>
      <c r="C496" s="23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4.25" customHeight="1">
      <c r="A497" s="7"/>
      <c r="B497" s="7"/>
      <c r="C497" s="23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4.25" customHeight="1">
      <c r="A498" s="7"/>
      <c r="B498" s="7"/>
      <c r="C498" s="23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4.25" customHeight="1">
      <c r="A499" s="7"/>
      <c r="B499" s="7"/>
      <c r="C499" s="23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4.25" customHeight="1">
      <c r="A500" s="7"/>
      <c r="B500" s="7"/>
      <c r="C500" s="23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4.25" customHeight="1">
      <c r="A501" s="7"/>
      <c r="B501" s="7"/>
      <c r="C501" s="23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4.25" customHeight="1">
      <c r="A502" s="7"/>
      <c r="B502" s="7"/>
      <c r="C502" s="23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4.25" customHeight="1">
      <c r="A503" s="7"/>
      <c r="B503" s="7"/>
      <c r="C503" s="23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4.25" customHeight="1">
      <c r="A504" s="7"/>
      <c r="B504" s="7"/>
      <c r="C504" s="23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4.25" customHeight="1">
      <c r="A505" s="7"/>
      <c r="B505" s="7"/>
      <c r="C505" s="23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4.25" customHeight="1">
      <c r="A506" s="7"/>
      <c r="B506" s="7"/>
      <c r="C506" s="23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4.25" customHeight="1">
      <c r="A507" s="7"/>
      <c r="B507" s="7"/>
      <c r="C507" s="23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4.25" customHeight="1">
      <c r="A508" s="7"/>
      <c r="B508" s="7"/>
      <c r="C508" s="23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4.25" customHeight="1">
      <c r="A509" s="7"/>
      <c r="B509" s="7"/>
      <c r="C509" s="23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4.25" customHeight="1">
      <c r="A510" s="7"/>
      <c r="B510" s="7"/>
      <c r="C510" s="23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4.25" customHeight="1">
      <c r="A511" s="7"/>
      <c r="B511" s="7"/>
      <c r="C511" s="23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4.25" customHeight="1">
      <c r="A512" s="7"/>
      <c r="B512" s="7"/>
      <c r="C512" s="23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4.25" customHeight="1">
      <c r="A513" s="7"/>
      <c r="B513" s="7"/>
      <c r="C513" s="23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4.25" customHeight="1">
      <c r="A514" s="7"/>
      <c r="B514" s="7"/>
      <c r="C514" s="23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4.25" customHeight="1">
      <c r="A515" s="7"/>
      <c r="B515" s="7"/>
      <c r="C515" s="23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4.25" customHeight="1">
      <c r="A516" s="7"/>
      <c r="B516" s="7"/>
      <c r="C516" s="23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4.25" customHeight="1">
      <c r="A517" s="7"/>
      <c r="B517" s="7"/>
      <c r="C517" s="23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4.25" customHeight="1">
      <c r="A518" s="7"/>
      <c r="B518" s="7"/>
      <c r="C518" s="23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4.25" customHeight="1">
      <c r="A519" s="7"/>
      <c r="B519" s="7"/>
      <c r="C519" s="23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4.25" customHeight="1">
      <c r="A520" s="7"/>
      <c r="B520" s="7"/>
      <c r="C520" s="23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4.25" customHeight="1">
      <c r="A521" s="7"/>
      <c r="B521" s="7"/>
      <c r="C521" s="23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4.25" customHeight="1">
      <c r="A522" s="7"/>
      <c r="B522" s="7"/>
      <c r="C522" s="23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4.25" customHeight="1">
      <c r="A523" s="7"/>
      <c r="B523" s="7"/>
      <c r="C523" s="23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4.25" customHeight="1">
      <c r="A524" s="7"/>
      <c r="B524" s="7"/>
      <c r="C524" s="23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4.25" customHeight="1">
      <c r="A525" s="7"/>
      <c r="B525" s="7"/>
      <c r="C525" s="23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4.25" customHeight="1">
      <c r="A526" s="7"/>
      <c r="B526" s="7"/>
      <c r="C526" s="23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4.25" customHeight="1">
      <c r="A527" s="7"/>
      <c r="B527" s="7"/>
      <c r="C527" s="23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4.25" customHeight="1">
      <c r="A528" s="7"/>
      <c r="B528" s="7"/>
      <c r="C528" s="23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4.25" customHeight="1">
      <c r="A529" s="7"/>
      <c r="B529" s="7"/>
      <c r="C529" s="23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4.25" customHeight="1">
      <c r="A530" s="7"/>
      <c r="B530" s="7"/>
      <c r="C530" s="23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4.25" customHeight="1">
      <c r="A531" s="7"/>
      <c r="B531" s="7"/>
      <c r="C531" s="23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4.25" customHeight="1">
      <c r="A532" s="7"/>
      <c r="B532" s="7"/>
      <c r="C532" s="23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4.25" customHeight="1">
      <c r="A533" s="7"/>
      <c r="B533" s="7"/>
      <c r="C533" s="23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4.25" customHeight="1">
      <c r="A534" s="7"/>
      <c r="B534" s="7"/>
      <c r="C534" s="23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4.25" customHeight="1">
      <c r="A535" s="7"/>
      <c r="B535" s="7"/>
      <c r="C535" s="23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4.25" customHeight="1">
      <c r="A536" s="7"/>
      <c r="B536" s="7"/>
      <c r="C536" s="23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4.25" customHeight="1">
      <c r="A537" s="7"/>
      <c r="B537" s="7"/>
      <c r="C537" s="23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4.25" customHeight="1">
      <c r="A538" s="7"/>
      <c r="B538" s="7"/>
      <c r="C538" s="23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4.25" customHeight="1">
      <c r="A539" s="7"/>
      <c r="B539" s="7"/>
      <c r="C539" s="23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4.25" customHeight="1">
      <c r="A540" s="7"/>
      <c r="B540" s="7"/>
      <c r="C540" s="23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4.25" customHeight="1">
      <c r="A541" s="7"/>
      <c r="B541" s="7"/>
      <c r="C541" s="23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4.25" customHeight="1">
      <c r="A542" s="7"/>
      <c r="B542" s="7"/>
      <c r="C542" s="23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4.25" customHeight="1">
      <c r="A543" s="7"/>
      <c r="B543" s="7"/>
      <c r="C543" s="23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4.25" customHeight="1">
      <c r="A544" s="7"/>
      <c r="B544" s="7"/>
      <c r="C544" s="23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4.25" customHeight="1">
      <c r="A545" s="7"/>
      <c r="B545" s="7"/>
      <c r="C545" s="23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4.25" customHeight="1">
      <c r="A546" s="7"/>
      <c r="B546" s="7"/>
      <c r="C546" s="23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4.25" customHeight="1">
      <c r="A547" s="7"/>
      <c r="B547" s="7"/>
      <c r="C547" s="23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4.25" customHeight="1">
      <c r="A548" s="7"/>
      <c r="B548" s="7"/>
      <c r="C548" s="23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4.25" customHeight="1">
      <c r="A549" s="7"/>
      <c r="B549" s="7"/>
      <c r="C549" s="23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4.25" customHeight="1">
      <c r="A550" s="7"/>
      <c r="B550" s="7"/>
      <c r="C550" s="23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4.25" customHeight="1">
      <c r="A551" s="7"/>
      <c r="B551" s="7"/>
      <c r="C551" s="23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4.25" customHeight="1">
      <c r="A552" s="7"/>
      <c r="B552" s="7"/>
      <c r="C552" s="23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4.25" customHeight="1">
      <c r="A553" s="7"/>
      <c r="B553" s="7"/>
      <c r="C553" s="23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4.25" customHeight="1">
      <c r="A554" s="7"/>
      <c r="B554" s="7"/>
      <c r="C554" s="23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4.25" customHeight="1">
      <c r="A555" s="7"/>
      <c r="B555" s="7"/>
      <c r="C555" s="23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4.25" customHeight="1">
      <c r="A556" s="7"/>
      <c r="B556" s="7"/>
      <c r="C556" s="23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4.25" customHeight="1">
      <c r="A557" s="7"/>
      <c r="B557" s="7"/>
      <c r="C557" s="23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4.25" customHeight="1">
      <c r="A558" s="7"/>
      <c r="B558" s="7"/>
      <c r="C558" s="23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4.25" customHeight="1">
      <c r="A559" s="7"/>
      <c r="B559" s="7"/>
      <c r="C559" s="23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4.25" customHeight="1">
      <c r="A560" s="7"/>
      <c r="B560" s="7"/>
      <c r="C560" s="23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4.25" customHeight="1">
      <c r="A561" s="7"/>
      <c r="B561" s="7"/>
      <c r="C561" s="23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4.25" customHeight="1">
      <c r="A562" s="7"/>
      <c r="B562" s="7"/>
      <c r="C562" s="23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4.25" customHeight="1">
      <c r="A563" s="7"/>
      <c r="B563" s="7"/>
      <c r="C563" s="23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4.25" customHeight="1">
      <c r="A564" s="7"/>
      <c r="B564" s="7"/>
      <c r="C564" s="23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4.25" customHeight="1">
      <c r="A565" s="7"/>
      <c r="B565" s="7"/>
      <c r="C565" s="23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4.25" customHeight="1">
      <c r="A566" s="7"/>
      <c r="B566" s="7"/>
      <c r="C566" s="23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4.25" customHeight="1">
      <c r="A567" s="7"/>
      <c r="B567" s="7"/>
      <c r="C567" s="23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4.25" customHeight="1">
      <c r="A568" s="7"/>
      <c r="B568" s="7"/>
      <c r="C568" s="23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4.25" customHeight="1">
      <c r="A569" s="7"/>
      <c r="B569" s="7"/>
      <c r="C569" s="23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4.25" customHeight="1">
      <c r="A570" s="7"/>
      <c r="B570" s="7"/>
      <c r="C570" s="23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4.25" customHeight="1">
      <c r="A571" s="7"/>
      <c r="B571" s="7"/>
      <c r="C571" s="23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4.25" customHeight="1">
      <c r="A572" s="7"/>
      <c r="B572" s="7"/>
      <c r="C572" s="23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4.25" customHeight="1">
      <c r="A573" s="7"/>
      <c r="B573" s="7"/>
      <c r="C573" s="23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4.25" customHeight="1">
      <c r="A574" s="7"/>
      <c r="B574" s="7"/>
      <c r="C574" s="23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4.25" customHeight="1">
      <c r="A575" s="7"/>
      <c r="B575" s="7"/>
      <c r="C575" s="23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4.25" customHeight="1">
      <c r="A576" s="7"/>
      <c r="B576" s="7"/>
      <c r="C576" s="23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4.25" customHeight="1">
      <c r="A577" s="7"/>
      <c r="B577" s="7"/>
      <c r="C577" s="23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4.25" customHeight="1">
      <c r="A578" s="7"/>
      <c r="B578" s="7"/>
      <c r="C578" s="23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4.25" customHeight="1">
      <c r="A579" s="7"/>
      <c r="B579" s="7"/>
      <c r="C579" s="23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4.25" customHeight="1">
      <c r="A580" s="7"/>
      <c r="B580" s="7"/>
      <c r="C580" s="23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4.25" customHeight="1">
      <c r="A581" s="7"/>
      <c r="B581" s="7"/>
      <c r="C581" s="23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4.25" customHeight="1">
      <c r="A582" s="7"/>
      <c r="B582" s="7"/>
      <c r="C582" s="23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4.25" customHeight="1">
      <c r="A583" s="7"/>
      <c r="B583" s="7"/>
      <c r="C583" s="23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4.25" customHeight="1">
      <c r="A584" s="7"/>
      <c r="B584" s="7"/>
      <c r="C584" s="23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4.25" customHeight="1">
      <c r="A585" s="7"/>
      <c r="B585" s="7"/>
      <c r="C585" s="23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4.25" customHeight="1">
      <c r="A586" s="7"/>
      <c r="B586" s="7"/>
      <c r="C586" s="23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4.25" customHeight="1">
      <c r="A587" s="7"/>
      <c r="B587" s="7"/>
      <c r="C587" s="23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4.25" customHeight="1">
      <c r="A588" s="7"/>
      <c r="B588" s="7"/>
      <c r="C588" s="23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4.25" customHeight="1">
      <c r="A589" s="7"/>
      <c r="B589" s="7"/>
      <c r="C589" s="23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4.25" customHeight="1">
      <c r="A590" s="7"/>
      <c r="B590" s="7"/>
      <c r="C590" s="23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4.25" customHeight="1">
      <c r="A591" s="7"/>
      <c r="B591" s="7"/>
      <c r="C591" s="23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4.25" customHeight="1">
      <c r="A592" s="7"/>
      <c r="B592" s="7"/>
      <c r="C592" s="23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4.25" customHeight="1">
      <c r="A593" s="7"/>
      <c r="B593" s="7"/>
      <c r="C593" s="23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4.25" customHeight="1">
      <c r="A594" s="7"/>
      <c r="B594" s="7"/>
      <c r="C594" s="23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4.25" customHeight="1">
      <c r="A595" s="7"/>
      <c r="B595" s="7"/>
      <c r="C595" s="23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4.25" customHeight="1">
      <c r="A596" s="7"/>
      <c r="B596" s="7"/>
      <c r="C596" s="23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4.25" customHeight="1">
      <c r="A597" s="7"/>
      <c r="B597" s="7"/>
      <c r="C597" s="23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4.25" customHeight="1">
      <c r="A598" s="7"/>
      <c r="B598" s="7"/>
      <c r="C598" s="23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4.25" customHeight="1">
      <c r="A599" s="7"/>
      <c r="B599" s="7"/>
      <c r="C599" s="23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4.25" customHeight="1">
      <c r="A600" s="7"/>
      <c r="B600" s="7"/>
      <c r="C600" s="23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4.25" customHeight="1">
      <c r="A601" s="7"/>
      <c r="B601" s="7"/>
      <c r="C601" s="23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4.25" customHeight="1">
      <c r="A602" s="7"/>
      <c r="B602" s="7"/>
      <c r="C602" s="23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4.25" customHeight="1">
      <c r="A603" s="7"/>
      <c r="B603" s="7"/>
      <c r="C603" s="23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4.25" customHeight="1">
      <c r="A604" s="7"/>
      <c r="B604" s="7"/>
      <c r="C604" s="23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4.25" customHeight="1">
      <c r="A605" s="7"/>
      <c r="B605" s="7"/>
      <c r="C605" s="23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4.25" customHeight="1">
      <c r="A606" s="7"/>
      <c r="B606" s="7"/>
      <c r="C606" s="23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4.25" customHeight="1">
      <c r="A607" s="7"/>
      <c r="B607" s="7"/>
      <c r="C607" s="23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4.25" customHeight="1">
      <c r="A608" s="7"/>
      <c r="B608" s="7"/>
      <c r="C608" s="23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4.25" customHeight="1">
      <c r="A609" s="7"/>
      <c r="B609" s="7"/>
      <c r="C609" s="23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4.25" customHeight="1">
      <c r="A610" s="7"/>
      <c r="B610" s="7"/>
      <c r="C610" s="23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4.25" customHeight="1">
      <c r="A611" s="7"/>
      <c r="B611" s="7"/>
      <c r="C611" s="23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4.25" customHeight="1">
      <c r="A612" s="7"/>
      <c r="B612" s="7"/>
      <c r="C612" s="23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4.25" customHeight="1">
      <c r="A613" s="7"/>
      <c r="B613" s="7"/>
      <c r="C613" s="23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4.25" customHeight="1">
      <c r="A614" s="7"/>
      <c r="B614" s="7"/>
      <c r="C614" s="23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4.25" customHeight="1">
      <c r="A615" s="7"/>
      <c r="B615" s="7"/>
      <c r="C615" s="23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4.25" customHeight="1">
      <c r="A616" s="7"/>
      <c r="B616" s="7"/>
      <c r="C616" s="23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4.25" customHeight="1">
      <c r="A617" s="7"/>
      <c r="B617" s="7"/>
      <c r="C617" s="23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4.25" customHeight="1">
      <c r="A618" s="7"/>
      <c r="B618" s="7"/>
      <c r="C618" s="23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4.25" customHeight="1">
      <c r="A619" s="7"/>
      <c r="B619" s="7"/>
      <c r="C619" s="23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4.25" customHeight="1">
      <c r="A620" s="7"/>
      <c r="B620" s="7"/>
      <c r="C620" s="23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4.25" customHeight="1">
      <c r="A621" s="7"/>
      <c r="B621" s="7"/>
      <c r="C621" s="23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4.25" customHeight="1">
      <c r="A622" s="7"/>
      <c r="B622" s="7"/>
      <c r="C622" s="23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4.25" customHeight="1">
      <c r="A623" s="7"/>
      <c r="B623" s="7"/>
      <c r="C623" s="23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4.25" customHeight="1">
      <c r="A624" s="7"/>
      <c r="B624" s="7"/>
      <c r="C624" s="23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4.25" customHeight="1">
      <c r="A625" s="7"/>
      <c r="B625" s="7"/>
      <c r="C625" s="23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4.25" customHeight="1">
      <c r="A626" s="7"/>
      <c r="B626" s="7"/>
      <c r="C626" s="23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4.25" customHeight="1">
      <c r="A627" s="7"/>
      <c r="B627" s="7"/>
      <c r="C627" s="23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4.25" customHeight="1">
      <c r="A628" s="7"/>
      <c r="B628" s="7"/>
      <c r="C628" s="23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4.25" customHeight="1">
      <c r="A629" s="7"/>
      <c r="B629" s="7"/>
      <c r="C629" s="23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4.25" customHeight="1">
      <c r="A630" s="7"/>
      <c r="B630" s="7"/>
      <c r="C630" s="23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4.25" customHeight="1">
      <c r="A631" s="7"/>
      <c r="B631" s="7"/>
      <c r="C631" s="23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4.25" customHeight="1">
      <c r="A632" s="7"/>
      <c r="B632" s="7"/>
      <c r="C632" s="23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4.25" customHeight="1">
      <c r="A633" s="7"/>
      <c r="B633" s="7"/>
      <c r="C633" s="23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4.25" customHeight="1">
      <c r="A634" s="7"/>
      <c r="B634" s="7"/>
      <c r="C634" s="23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4.25" customHeight="1">
      <c r="A635" s="7"/>
      <c r="B635" s="7"/>
      <c r="C635" s="23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4.25" customHeight="1">
      <c r="A636" s="7"/>
      <c r="B636" s="7"/>
      <c r="C636" s="23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4.25" customHeight="1">
      <c r="A637" s="7"/>
      <c r="B637" s="7"/>
      <c r="C637" s="23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4.25" customHeight="1">
      <c r="A638" s="7"/>
      <c r="B638" s="7"/>
      <c r="C638" s="23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4.25" customHeight="1">
      <c r="A639" s="7"/>
      <c r="B639" s="7"/>
      <c r="C639" s="23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4.25" customHeight="1">
      <c r="A640" s="7"/>
      <c r="B640" s="7"/>
      <c r="C640" s="23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4.25" customHeight="1">
      <c r="A641" s="7"/>
      <c r="B641" s="7"/>
      <c r="C641" s="23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4.25" customHeight="1">
      <c r="A642" s="7"/>
      <c r="B642" s="7"/>
      <c r="C642" s="23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4.25" customHeight="1">
      <c r="A643" s="7"/>
      <c r="B643" s="7"/>
      <c r="C643" s="23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4.25" customHeight="1">
      <c r="A644" s="7"/>
      <c r="B644" s="7"/>
      <c r="C644" s="23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4.25" customHeight="1">
      <c r="A645" s="7"/>
      <c r="B645" s="7"/>
      <c r="C645" s="23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4.25" customHeight="1">
      <c r="A646" s="7"/>
      <c r="B646" s="7"/>
      <c r="C646" s="23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4.25" customHeight="1">
      <c r="A647" s="7"/>
      <c r="B647" s="7"/>
      <c r="C647" s="23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4.25" customHeight="1">
      <c r="A648" s="7"/>
      <c r="B648" s="7"/>
      <c r="C648" s="23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4.25" customHeight="1">
      <c r="A649" s="7"/>
      <c r="B649" s="7"/>
      <c r="C649" s="23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4.25" customHeight="1">
      <c r="A650" s="7"/>
      <c r="B650" s="7"/>
      <c r="C650" s="23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4.25" customHeight="1">
      <c r="A651" s="7"/>
      <c r="B651" s="7"/>
      <c r="C651" s="23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4.25" customHeight="1">
      <c r="A652" s="7"/>
      <c r="B652" s="7"/>
      <c r="C652" s="23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4.25" customHeight="1">
      <c r="A653" s="7"/>
      <c r="B653" s="7"/>
      <c r="C653" s="23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4.25" customHeight="1">
      <c r="A654" s="7"/>
      <c r="B654" s="7"/>
      <c r="C654" s="23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4.25" customHeight="1">
      <c r="A655" s="7"/>
      <c r="B655" s="7"/>
      <c r="C655" s="23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4.25" customHeight="1">
      <c r="A656" s="7"/>
      <c r="B656" s="7"/>
      <c r="C656" s="23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4.25" customHeight="1">
      <c r="A657" s="7"/>
      <c r="B657" s="7"/>
      <c r="C657" s="23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4.25" customHeight="1">
      <c r="A658" s="7"/>
      <c r="B658" s="7"/>
      <c r="C658" s="23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4.25" customHeight="1">
      <c r="A659" s="7"/>
      <c r="B659" s="7"/>
      <c r="C659" s="23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4.25" customHeight="1">
      <c r="A660" s="7"/>
      <c r="B660" s="7"/>
      <c r="C660" s="23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4.25" customHeight="1">
      <c r="A661" s="7"/>
      <c r="B661" s="7"/>
      <c r="C661" s="23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4.25" customHeight="1">
      <c r="A662" s="7"/>
      <c r="B662" s="7"/>
      <c r="C662" s="23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4.25" customHeight="1">
      <c r="A663" s="7"/>
      <c r="B663" s="7"/>
      <c r="C663" s="23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4.25" customHeight="1">
      <c r="A664" s="7"/>
      <c r="B664" s="7"/>
      <c r="C664" s="23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4.25" customHeight="1">
      <c r="A665" s="7"/>
      <c r="B665" s="7"/>
      <c r="C665" s="23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4.25" customHeight="1">
      <c r="A666" s="7"/>
      <c r="B666" s="7"/>
      <c r="C666" s="23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4.25" customHeight="1">
      <c r="A667" s="7"/>
      <c r="B667" s="7"/>
      <c r="C667" s="23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4.25" customHeight="1">
      <c r="A668" s="7"/>
      <c r="B668" s="7"/>
      <c r="C668" s="23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4.25" customHeight="1">
      <c r="A669" s="7"/>
      <c r="B669" s="7"/>
      <c r="C669" s="23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4.25" customHeight="1">
      <c r="A670" s="7"/>
      <c r="B670" s="7"/>
      <c r="C670" s="23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4.25" customHeight="1">
      <c r="A671" s="7"/>
      <c r="B671" s="7"/>
      <c r="C671" s="23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4.25" customHeight="1">
      <c r="A672" s="7"/>
      <c r="B672" s="7"/>
      <c r="C672" s="23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4.25" customHeight="1">
      <c r="A673" s="7"/>
      <c r="B673" s="7"/>
      <c r="C673" s="23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4.25" customHeight="1">
      <c r="A674" s="7"/>
      <c r="B674" s="7"/>
      <c r="C674" s="23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4.25" customHeight="1">
      <c r="A675" s="7"/>
      <c r="B675" s="7"/>
      <c r="C675" s="23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4.25" customHeight="1">
      <c r="A676" s="7"/>
      <c r="B676" s="7"/>
      <c r="C676" s="23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4.25" customHeight="1">
      <c r="A677" s="7"/>
      <c r="B677" s="7"/>
      <c r="C677" s="23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4.25" customHeight="1">
      <c r="A678" s="7"/>
      <c r="B678" s="7"/>
      <c r="C678" s="23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4.25" customHeight="1">
      <c r="A679" s="7"/>
      <c r="B679" s="7"/>
      <c r="C679" s="23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4.25" customHeight="1">
      <c r="A680" s="7"/>
      <c r="B680" s="7"/>
      <c r="C680" s="23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4.25" customHeight="1">
      <c r="A681" s="7"/>
      <c r="B681" s="7"/>
      <c r="C681" s="23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4.25" customHeight="1">
      <c r="A682" s="7"/>
      <c r="B682" s="7"/>
      <c r="C682" s="23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4.25" customHeight="1">
      <c r="A683" s="7"/>
      <c r="B683" s="7"/>
      <c r="C683" s="23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4.25" customHeight="1">
      <c r="A684" s="7"/>
      <c r="B684" s="7"/>
      <c r="C684" s="23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4.25" customHeight="1">
      <c r="A685" s="7"/>
      <c r="B685" s="7"/>
      <c r="C685" s="23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4.25" customHeight="1">
      <c r="A686" s="7"/>
      <c r="B686" s="7"/>
      <c r="C686" s="23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4.25" customHeight="1">
      <c r="A687" s="7"/>
      <c r="B687" s="7"/>
      <c r="C687" s="23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4.25" customHeight="1">
      <c r="A688" s="7"/>
      <c r="B688" s="7"/>
      <c r="C688" s="23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4.25" customHeight="1">
      <c r="A689" s="7"/>
      <c r="B689" s="7"/>
      <c r="C689" s="23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4.25" customHeight="1">
      <c r="A690" s="7"/>
      <c r="B690" s="7"/>
      <c r="C690" s="23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4.25" customHeight="1">
      <c r="A691" s="7"/>
      <c r="B691" s="7"/>
      <c r="C691" s="23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4.25" customHeight="1">
      <c r="A692" s="7"/>
      <c r="B692" s="7"/>
      <c r="C692" s="23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4.25" customHeight="1">
      <c r="A693" s="7"/>
      <c r="B693" s="7"/>
      <c r="C693" s="23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4.25" customHeight="1">
      <c r="A694" s="7"/>
      <c r="B694" s="7"/>
      <c r="C694" s="23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4.25" customHeight="1">
      <c r="A695" s="7"/>
      <c r="B695" s="7"/>
      <c r="C695" s="23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4.25" customHeight="1">
      <c r="A696" s="7"/>
      <c r="B696" s="7"/>
      <c r="C696" s="23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4.25" customHeight="1">
      <c r="A697" s="7"/>
      <c r="B697" s="7"/>
      <c r="C697" s="23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4.25" customHeight="1">
      <c r="A698" s="7"/>
      <c r="B698" s="7"/>
      <c r="C698" s="23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4.25" customHeight="1">
      <c r="A699" s="7"/>
      <c r="B699" s="7"/>
      <c r="C699" s="23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4.25" customHeight="1">
      <c r="A700" s="7"/>
      <c r="B700" s="7"/>
      <c r="C700" s="23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4.25" customHeight="1">
      <c r="A701" s="7"/>
      <c r="B701" s="7"/>
      <c r="C701" s="23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4.25" customHeight="1">
      <c r="A702" s="7"/>
      <c r="B702" s="7"/>
      <c r="C702" s="23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4.25" customHeight="1">
      <c r="A703" s="7"/>
      <c r="B703" s="7"/>
      <c r="C703" s="23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4.25" customHeight="1">
      <c r="A704" s="7"/>
      <c r="B704" s="7"/>
      <c r="C704" s="23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4.25" customHeight="1">
      <c r="A705" s="7"/>
      <c r="B705" s="7"/>
      <c r="C705" s="23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4.25" customHeight="1">
      <c r="A706" s="7"/>
      <c r="B706" s="7"/>
      <c r="C706" s="23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4.25" customHeight="1">
      <c r="A707" s="7"/>
      <c r="B707" s="7"/>
      <c r="C707" s="23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4.25" customHeight="1">
      <c r="A708" s="7"/>
      <c r="B708" s="7"/>
      <c r="C708" s="23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4.25" customHeight="1">
      <c r="A709" s="7"/>
      <c r="B709" s="7"/>
      <c r="C709" s="23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4.25" customHeight="1">
      <c r="A710" s="7"/>
      <c r="B710" s="7"/>
      <c r="C710" s="23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4.25" customHeight="1">
      <c r="A711" s="7"/>
      <c r="B711" s="7"/>
      <c r="C711" s="23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4.25" customHeight="1">
      <c r="A712" s="7"/>
      <c r="B712" s="7"/>
      <c r="C712" s="23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4.25" customHeight="1">
      <c r="A713" s="7"/>
      <c r="B713" s="7"/>
      <c r="C713" s="23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4.25" customHeight="1">
      <c r="A714" s="7"/>
      <c r="B714" s="7"/>
      <c r="C714" s="23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4.25" customHeight="1">
      <c r="A715" s="7"/>
      <c r="B715" s="7"/>
      <c r="C715" s="23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4.25" customHeight="1">
      <c r="A716" s="7"/>
      <c r="B716" s="7"/>
      <c r="C716" s="23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4.25" customHeight="1">
      <c r="A717" s="7"/>
      <c r="B717" s="7"/>
      <c r="C717" s="23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4.25" customHeight="1">
      <c r="A718" s="7"/>
      <c r="B718" s="7"/>
      <c r="C718" s="23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4.25" customHeight="1">
      <c r="A719" s="7"/>
      <c r="B719" s="7"/>
      <c r="C719" s="23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4.25" customHeight="1">
      <c r="A720" s="7"/>
      <c r="B720" s="7"/>
      <c r="C720" s="23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4.25" customHeight="1">
      <c r="A721" s="7"/>
      <c r="B721" s="7"/>
      <c r="C721" s="23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4.25" customHeight="1">
      <c r="A722" s="7"/>
      <c r="B722" s="7"/>
      <c r="C722" s="23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4.25" customHeight="1">
      <c r="A723" s="7"/>
      <c r="B723" s="7"/>
      <c r="C723" s="23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4.25" customHeight="1">
      <c r="A724" s="7"/>
      <c r="B724" s="7"/>
      <c r="C724" s="23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4.25" customHeight="1">
      <c r="A725" s="7"/>
      <c r="B725" s="7"/>
      <c r="C725" s="23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4.25" customHeight="1">
      <c r="A726" s="7"/>
      <c r="B726" s="7"/>
      <c r="C726" s="23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4.25" customHeight="1">
      <c r="A727" s="7"/>
      <c r="B727" s="7"/>
      <c r="C727" s="23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4.25" customHeight="1">
      <c r="A728" s="7"/>
      <c r="B728" s="7"/>
      <c r="C728" s="23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4.25" customHeight="1">
      <c r="A729" s="7"/>
      <c r="B729" s="7"/>
      <c r="C729" s="23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4.25" customHeight="1">
      <c r="A730" s="7"/>
      <c r="B730" s="7"/>
      <c r="C730" s="23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4.25" customHeight="1">
      <c r="A731" s="7"/>
      <c r="B731" s="7"/>
      <c r="C731" s="23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4.25" customHeight="1">
      <c r="A732" s="7"/>
      <c r="B732" s="7"/>
      <c r="C732" s="23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4.25" customHeight="1">
      <c r="A733" s="7"/>
      <c r="B733" s="7"/>
      <c r="C733" s="23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4.25" customHeight="1">
      <c r="A734" s="7"/>
      <c r="B734" s="7"/>
      <c r="C734" s="23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4.25" customHeight="1">
      <c r="A735" s="7"/>
      <c r="B735" s="7"/>
      <c r="C735" s="23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4.25" customHeight="1">
      <c r="A736" s="7"/>
      <c r="B736" s="7"/>
      <c r="C736" s="23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4.25" customHeight="1">
      <c r="A737" s="7"/>
      <c r="B737" s="7"/>
      <c r="C737" s="23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4.25" customHeight="1">
      <c r="A738" s="7"/>
      <c r="B738" s="7"/>
      <c r="C738" s="23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4.25" customHeight="1">
      <c r="A739" s="7"/>
      <c r="B739" s="7"/>
      <c r="C739" s="23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4.25" customHeight="1">
      <c r="A740" s="7"/>
      <c r="B740" s="7"/>
      <c r="C740" s="23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4.25" customHeight="1">
      <c r="A741" s="7"/>
      <c r="B741" s="7"/>
      <c r="C741" s="23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4.25" customHeight="1">
      <c r="A742" s="7"/>
      <c r="B742" s="7"/>
      <c r="C742" s="23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4.25" customHeight="1">
      <c r="A743" s="7"/>
      <c r="B743" s="7"/>
      <c r="C743" s="23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4.25" customHeight="1">
      <c r="A744" s="7"/>
      <c r="B744" s="7"/>
      <c r="C744" s="23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4.25" customHeight="1">
      <c r="A745" s="7"/>
      <c r="B745" s="7"/>
      <c r="C745" s="23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4.25" customHeight="1">
      <c r="A746" s="7"/>
      <c r="B746" s="7"/>
      <c r="C746" s="23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4.25" customHeight="1">
      <c r="A747" s="7"/>
      <c r="B747" s="7"/>
      <c r="C747" s="23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4.25" customHeight="1">
      <c r="A748" s="7"/>
      <c r="B748" s="7"/>
      <c r="C748" s="23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4.25" customHeight="1">
      <c r="A749" s="7"/>
      <c r="B749" s="7"/>
      <c r="C749" s="23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4.25" customHeight="1">
      <c r="A750" s="7"/>
      <c r="B750" s="7"/>
      <c r="C750" s="23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4.25" customHeight="1">
      <c r="A751" s="7"/>
      <c r="B751" s="7"/>
      <c r="C751" s="23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4.25" customHeight="1">
      <c r="A752" s="7"/>
      <c r="B752" s="7"/>
      <c r="C752" s="23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4.25" customHeight="1">
      <c r="A753" s="7"/>
      <c r="B753" s="7"/>
      <c r="C753" s="23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4.25" customHeight="1">
      <c r="A754" s="7"/>
      <c r="B754" s="7"/>
      <c r="C754" s="23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4.25" customHeight="1">
      <c r="A755" s="7"/>
      <c r="B755" s="7"/>
      <c r="C755" s="23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4.25" customHeight="1">
      <c r="A756" s="7"/>
      <c r="B756" s="7"/>
      <c r="C756" s="23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4.25" customHeight="1">
      <c r="A757" s="7"/>
      <c r="B757" s="7"/>
      <c r="C757" s="23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4.25" customHeight="1">
      <c r="A758" s="7"/>
      <c r="B758" s="7"/>
      <c r="C758" s="23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4.25" customHeight="1">
      <c r="A759" s="7"/>
      <c r="B759" s="7"/>
      <c r="C759" s="23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4.25" customHeight="1">
      <c r="A760" s="7"/>
      <c r="B760" s="7"/>
      <c r="C760" s="23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4.25" customHeight="1">
      <c r="A761" s="7"/>
      <c r="B761" s="7"/>
      <c r="C761" s="23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4.25" customHeight="1">
      <c r="A762" s="7"/>
      <c r="B762" s="7"/>
      <c r="C762" s="23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4.25" customHeight="1">
      <c r="A763" s="7"/>
      <c r="B763" s="7"/>
      <c r="C763" s="23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4.25" customHeight="1">
      <c r="A764" s="7"/>
      <c r="B764" s="7"/>
      <c r="C764" s="23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4.25" customHeight="1">
      <c r="A765" s="7"/>
      <c r="B765" s="7"/>
      <c r="C765" s="23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4.25" customHeight="1">
      <c r="A766" s="7"/>
      <c r="B766" s="7"/>
      <c r="C766" s="23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4.25" customHeight="1">
      <c r="A767" s="7"/>
      <c r="B767" s="7"/>
      <c r="C767" s="23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4.25" customHeight="1">
      <c r="A768" s="7"/>
      <c r="B768" s="7"/>
      <c r="C768" s="23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4.25" customHeight="1">
      <c r="A769" s="7"/>
      <c r="B769" s="7"/>
      <c r="C769" s="23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4.25" customHeight="1">
      <c r="A770" s="7"/>
      <c r="B770" s="7"/>
      <c r="C770" s="23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4.25" customHeight="1">
      <c r="A771" s="7"/>
      <c r="B771" s="7"/>
      <c r="C771" s="23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4.25" customHeight="1">
      <c r="A772" s="7"/>
      <c r="B772" s="7"/>
      <c r="C772" s="23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4.25" customHeight="1">
      <c r="A773" s="7"/>
      <c r="B773" s="7"/>
      <c r="C773" s="23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4.25" customHeight="1">
      <c r="A774" s="7"/>
      <c r="B774" s="7"/>
      <c r="C774" s="23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4.25" customHeight="1">
      <c r="A775" s="7"/>
      <c r="B775" s="7"/>
      <c r="C775" s="23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4.25" customHeight="1">
      <c r="A776" s="7"/>
      <c r="B776" s="7"/>
      <c r="C776" s="23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4.25" customHeight="1">
      <c r="A777" s="7"/>
      <c r="B777" s="7"/>
      <c r="C777" s="23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4.25" customHeight="1">
      <c r="A778" s="7"/>
      <c r="B778" s="7"/>
      <c r="C778" s="23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4.25" customHeight="1">
      <c r="A779" s="7"/>
      <c r="B779" s="7"/>
      <c r="C779" s="23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4.25" customHeight="1">
      <c r="A780" s="7"/>
      <c r="B780" s="7"/>
      <c r="C780" s="23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4.25" customHeight="1">
      <c r="A781" s="7"/>
      <c r="B781" s="7"/>
      <c r="C781" s="23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4.25" customHeight="1">
      <c r="A782" s="7"/>
      <c r="B782" s="7"/>
      <c r="C782" s="23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4.25" customHeight="1">
      <c r="A783" s="7"/>
      <c r="B783" s="7"/>
      <c r="C783" s="23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4.25" customHeight="1">
      <c r="A784" s="7"/>
      <c r="B784" s="7"/>
      <c r="C784" s="23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4.25" customHeight="1">
      <c r="A785" s="7"/>
      <c r="B785" s="7"/>
      <c r="C785" s="23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4.25" customHeight="1">
      <c r="A786" s="7"/>
      <c r="B786" s="7"/>
      <c r="C786" s="23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4.25" customHeight="1">
      <c r="A787" s="7"/>
      <c r="B787" s="7"/>
      <c r="C787" s="23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4.25" customHeight="1">
      <c r="A788" s="7"/>
      <c r="B788" s="7"/>
      <c r="C788" s="23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4.25" customHeight="1">
      <c r="A789" s="7"/>
      <c r="B789" s="7"/>
      <c r="C789" s="23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4.25" customHeight="1">
      <c r="A790" s="7"/>
      <c r="B790" s="7"/>
      <c r="C790" s="23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4.25" customHeight="1">
      <c r="A791" s="7"/>
      <c r="B791" s="7"/>
      <c r="C791" s="23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4.25" customHeight="1">
      <c r="A792" s="7"/>
      <c r="B792" s="7"/>
      <c r="C792" s="23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4.25" customHeight="1">
      <c r="A793" s="7"/>
      <c r="B793" s="7"/>
      <c r="C793" s="23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4.25" customHeight="1">
      <c r="A794" s="7"/>
      <c r="B794" s="7"/>
      <c r="C794" s="23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4.25" customHeight="1">
      <c r="A795" s="7"/>
      <c r="B795" s="7"/>
      <c r="C795" s="23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4.25" customHeight="1">
      <c r="A796" s="7"/>
      <c r="B796" s="7"/>
      <c r="C796" s="23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4.25" customHeight="1">
      <c r="A797" s="7"/>
      <c r="B797" s="7"/>
      <c r="C797" s="23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4.25" customHeight="1">
      <c r="A798" s="7"/>
      <c r="B798" s="7"/>
      <c r="C798" s="23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4.25" customHeight="1">
      <c r="A799" s="7"/>
      <c r="B799" s="7"/>
      <c r="C799" s="23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4.25" customHeight="1">
      <c r="A800" s="7"/>
      <c r="B800" s="7"/>
      <c r="C800" s="23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4.25" customHeight="1">
      <c r="A801" s="7"/>
      <c r="B801" s="7"/>
      <c r="C801" s="23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4.25" customHeight="1">
      <c r="A802" s="7"/>
      <c r="B802" s="7"/>
      <c r="C802" s="23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4.25" customHeight="1">
      <c r="A803" s="7"/>
      <c r="B803" s="7"/>
      <c r="C803" s="23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4.25" customHeight="1">
      <c r="A804" s="7"/>
      <c r="B804" s="7"/>
      <c r="C804" s="23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4.25" customHeight="1">
      <c r="A805" s="7"/>
      <c r="B805" s="7"/>
      <c r="C805" s="23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4.25" customHeight="1">
      <c r="A806" s="7"/>
      <c r="B806" s="7"/>
      <c r="C806" s="23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4.25" customHeight="1">
      <c r="A807" s="7"/>
      <c r="B807" s="7"/>
      <c r="C807" s="23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4.25" customHeight="1">
      <c r="A808" s="7"/>
      <c r="B808" s="7"/>
      <c r="C808" s="23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4.25" customHeight="1">
      <c r="A809" s="7"/>
      <c r="B809" s="7"/>
      <c r="C809" s="23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4.25" customHeight="1">
      <c r="A810" s="7"/>
      <c r="B810" s="7"/>
      <c r="C810" s="23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4.25" customHeight="1">
      <c r="A811" s="7"/>
      <c r="B811" s="7"/>
      <c r="C811" s="23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4.25" customHeight="1">
      <c r="A812" s="7"/>
      <c r="B812" s="7"/>
      <c r="C812" s="23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4.25" customHeight="1">
      <c r="A813" s="7"/>
      <c r="B813" s="7"/>
      <c r="C813" s="23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4.25" customHeight="1">
      <c r="A814" s="7"/>
      <c r="B814" s="7"/>
      <c r="C814" s="23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4.25" customHeight="1">
      <c r="A815" s="7"/>
      <c r="B815" s="7"/>
      <c r="C815" s="23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4.25" customHeight="1">
      <c r="A816" s="7"/>
      <c r="B816" s="7"/>
      <c r="C816" s="23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4.25" customHeight="1">
      <c r="A817" s="7"/>
      <c r="B817" s="7"/>
      <c r="C817" s="23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4.25" customHeight="1">
      <c r="A818" s="7"/>
      <c r="B818" s="7"/>
      <c r="C818" s="23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4.25" customHeight="1">
      <c r="A819" s="7"/>
      <c r="B819" s="7"/>
      <c r="C819" s="23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4.25" customHeight="1">
      <c r="A820" s="7"/>
      <c r="B820" s="7"/>
      <c r="C820" s="23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4.25" customHeight="1">
      <c r="A821" s="7"/>
      <c r="B821" s="7"/>
      <c r="C821" s="23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4.25" customHeight="1">
      <c r="A822" s="7"/>
      <c r="B822" s="7"/>
      <c r="C822" s="23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4.25" customHeight="1">
      <c r="A823" s="7"/>
      <c r="B823" s="7"/>
      <c r="C823" s="23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4.25" customHeight="1">
      <c r="A824" s="7"/>
      <c r="B824" s="7"/>
      <c r="C824" s="23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4.25" customHeight="1">
      <c r="A825" s="7"/>
      <c r="B825" s="7"/>
      <c r="C825" s="23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4.25" customHeight="1">
      <c r="A826" s="7"/>
      <c r="B826" s="7"/>
      <c r="C826" s="23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4.25" customHeight="1">
      <c r="A827" s="7"/>
      <c r="B827" s="7"/>
      <c r="C827" s="23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4.25" customHeight="1">
      <c r="A828" s="7"/>
      <c r="B828" s="7"/>
      <c r="C828" s="23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4.25" customHeight="1">
      <c r="A829" s="7"/>
      <c r="B829" s="7"/>
      <c r="C829" s="23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4.25" customHeight="1">
      <c r="A830" s="7"/>
      <c r="B830" s="7"/>
      <c r="C830" s="23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4.25" customHeight="1">
      <c r="A831" s="7"/>
      <c r="B831" s="7"/>
      <c r="C831" s="23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4.25" customHeight="1">
      <c r="A832" s="7"/>
      <c r="B832" s="7"/>
      <c r="C832" s="23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4.25" customHeight="1">
      <c r="A833" s="7"/>
      <c r="B833" s="7"/>
      <c r="C833" s="23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4.25" customHeight="1">
      <c r="A834" s="7"/>
      <c r="B834" s="7"/>
      <c r="C834" s="23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4.25" customHeight="1">
      <c r="A835" s="7"/>
      <c r="B835" s="7"/>
      <c r="C835" s="23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4.25" customHeight="1">
      <c r="A836" s="7"/>
      <c r="B836" s="7"/>
      <c r="C836" s="23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4.25" customHeight="1">
      <c r="A837" s="7"/>
      <c r="B837" s="7"/>
      <c r="C837" s="23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4.25" customHeight="1">
      <c r="A838" s="7"/>
      <c r="B838" s="7"/>
      <c r="C838" s="23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4.25" customHeight="1">
      <c r="A839" s="7"/>
      <c r="B839" s="7"/>
      <c r="C839" s="23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4.25" customHeight="1">
      <c r="A840" s="7"/>
      <c r="B840" s="7"/>
      <c r="C840" s="23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4.25" customHeight="1">
      <c r="A841" s="7"/>
      <c r="B841" s="7"/>
      <c r="C841" s="23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4.25" customHeight="1">
      <c r="A842" s="7"/>
      <c r="B842" s="7"/>
      <c r="C842" s="23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4.25" customHeight="1">
      <c r="A843" s="7"/>
      <c r="B843" s="7"/>
      <c r="C843" s="23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4.25" customHeight="1">
      <c r="A844" s="7"/>
      <c r="B844" s="7"/>
      <c r="C844" s="23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4.25" customHeight="1">
      <c r="A845" s="7"/>
      <c r="B845" s="7"/>
      <c r="C845" s="23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4.25" customHeight="1">
      <c r="A846" s="7"/>
      <c r="B846" s="7"/>
      <c r="C846" s="23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4.25" customHeight="1">
      <c r="A847" s="7"/>
      <c r="B847" s="7"/>
      <c r="C847" s="23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4.25" customHeight="1">
      <c r="A848" s="7"/>
      <c r="B848" s="7"/>
      <c r="C848" s="23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4.25" customHeight="1">
      <c r="A849" s="7"/>
      <c r="B849" s="7"/>
      <c r="C849" s="23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4.25" customHeight="1">
      <c r="A850" s="7"/>
      <c r="B850" s="7"/>
      <c r="C850" s="23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4.25" customHeight="1">
      <c r="A851" s="7"/>
      <c r="B851" s="7"/>
      <c r="C851" s="23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4.25" customHeight="1">
      <c r="A852" s="7"/>
      <c r="B852" s="7"/>
      <c r="C852" s="23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4.25" customHeight="1">
      <c r="A853" s="7"/>
      <c r="B853" s="7"/>
      <c r="C853" s="23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4.25" customHeight="1">
      <c r="A854" s="7"/>
      <c r="B854" s="7"/>
      <c r="C854" s="23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4.25" customHeight="1">
      <c r="A855" s="7"/>
      <c r="B855" s="7"/>
      <c r="C855" s="23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4.25" customHeight="1">
      <c r="A856" s="7"/>
      <c r="B856" s="7"/>
      <c r="C856" s="23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4.25" customHeight="1">
      <c r="A857" s="7"/>
      <c r="B857" s="7"/>
      <c r="C857" s="23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4.25" customHeight="1">
      <c r="A858" s="7"/>
      <c r="B858" s="7"/>
      <c r="C858" s="23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4.25" customHeight="1">
      <c r="A859" s="7"/>
      <c r="B859" s="7"/>
      <c r="C859" s="23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4.25" customHeight="1">
      <c r="A860" s="7"/>
      <c r="B860" s="7"/>
      <c r="C860" s="23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4.25" customHeight="1">
      <c r="A861" s="7"/>
      <c r="B861" s="7"/>
      <c r="C861" s="23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4.25" customHeight="1">
      <c r="A862" s="7"/>
      <c r="B862" s="7"/>
      <c r="C862" s="23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4.25" customHeight="1">
      <c r="A863" s="7"/>
      <c r="B863" s="7"/>
      <c r="C863" s="23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4.25" customHeight="1">
      <c r="A864" s="7"/>
      <c r="B864" s="7"/>
      <c r="C864" s="23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4.25" customHeight="1">
      <c r="A865" s="7"/>
      <c r="B865" s="7"/>
      <c r="C865" s="23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4.25" customHeight="1">
      <c r="A866" s="7"/>
      <c r="B866" s="7"/>
      <c r="C866" s="23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4.25" customHeight="1">
      <c r="A867" s="7"/>
      <c r="B867" s="7"/>
      <c r="C867" s="23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4.25" customHeight="1">
      <c r="A868" s="7"/>
      <c r="B868" s="7"/>
      <c r="C868" s="23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4.25" customHeight="1">
      <c r="A869" s="7"/>
      <c r="B869" s="7"/>
      <c r="C869" s="23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4.25" customHeight="1">
      <c r="A870" s="7"/>
      <c r="B870" s="7"/>
      <c r="C870" s="23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4.25" customHeight="1">
      <c r="A871" s="7"/>
      <c r="B871" s="7"/>
      <c r="C871" s="23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4.25" customHeight="1">
      <c r="A872" s="7"/>
      <c r="B872" s="7"/>
      <c r="C872" s="23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4.25" customHeight="1">
      <c r="A873" s="7"/>
      <c r="B873" s="7"/>
      <c r="C873" s="23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4.25" customHeight="1">
      <c r="A874" s="7"/>
      <c r="B874" s="7"/>
      <c r="C874" s="23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4.25" customHeight="1">
      <c r="A875" s="7"/>
      <c r="B875" s="7"/>
      <c r="C875" s="23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4.25" customHeight="1">
      <c r="A876" s="7"/>
      <c r="B876" s="7"/>
      <c r="C876" s="23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4.25" customHeight="1">
      <c r="A877" s="7"/>
      <c r="B877" s="7"/>
      <c r="C877" s="23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4.25" customHeight="1">
      <c r="A878" s="7"/>
      <c r="B878" s="7"/>
      <c r="C878" s="23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4.25" customHeight="1">
      <c r="A879" s="7"/>
      <c r="B879" s="7"/>
      <c r="C879" s="23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4.25" customHeight="1">
      <c r="A880" s="7"/>
      <c r="B880" s="7"/>
      <c r="C880" s="23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4.25" customHeight="1">
      <c r="A881" s="7"/>
      <c r="B881" s="7"/>
      <c r="C881" s="23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4.25" customHeight="1">
      <c r="A882" s="7"/>
      <c r="B882" s="7"/>
      <c r="C882" s="23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4.25" customHeight="1">
      <c r="A883" s="7"/>
      <c r="B883" s="7"/>
      <c r="C883" s="23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4.25" customHeight="1">
      <c r="A884" s="7"/>
      <c r="B884" s="7"/>
      <c r="C884" s="23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4.25" customHeight="1">
      <c r="A885" s="7"/>
      <c r="B885" s="7"/>
      <c r="C885" s="23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4.25" customHeight="1">
      <c r="A886" s="7"/>
      <c r="B886" s="7"/>
      <c r="C886" s="23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4.25" customHeight="1">
      <c r="A887" s="7"/>
      <c r="B887" s="7"/>
      <c r="C887" s="23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4.25" customHeight="1">
      <c r="A888" s="7"/>
      <c r="B888" s="7"/>
      <c r="C888" s="23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4.25" customHeight="1">
      <c r="A889" s="7"/>
      <c r="B889" s="7"/>
      <c r="C889" s="23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4.25" customHeight="1">
      <c r="A890" s="7"/>
      <c r="B890" s="7"/>
      <c r="C890" s="23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4.25" customHeight="1">
      <c r="A891" s="7"/>
      <c r="B891" s="7"/>
      <c r="C891" s="23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4.25" customHeight="1">
      <c r="A892" s="7"/>
      <c r="B892" s="7"/>
      <c r="C892" s="23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4.25" customHeight="1">
      <c r="A893" s="7"/>
      <c r="B893" s="7"/>
      <c r="C893" s="23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4.25" customHeight="1">
      <c r="A894" s="7"/>
      <c r="B894" s="7"/>
      <c r="C894" s="23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4.25" customHeight="1">
      <c r="A895" s="7"/>
      <c r="B895" s="7"/>
      <c r="C895" s="23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4.25" customHeight="1">
      <c r="A896" s="7"/>
      <c r="B896" s="7"/>
      <c r="C896" s="23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4.25" customHeight="1">
      <c r="A897" s="7"/>
      <c r="B897" s="7"/>
      <c r="C897" s="23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4.25" customHeight="1">
      <c r="A898" s="7"/>
      <c r="B898" s="7"/>
      <c r="C898" s="23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4.25" customHeight="1">
      <c r="A899" s="7"/>
      <c r="B899" s="7"/>
      <c r="C899" s="23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4.25" customHeight="1">
      <c r="A900" s="7"/>
      <c r="B900" s="7"/>
      <c r="C900" s="23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4.25" customHeight="1">
      <c r="A901" s="7"/>
      <c r="B901" s="7"/>
      <c r="C901" s="23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4.25" customHeight="1">
      <c r="A902" s="7"/>
      <c r="B902" s="7"/>
      <c r="C902" s="23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4.25" customHeight="1">
      <c r="A903" s="7"/>
      <c r="B903" s="7"/>
      <c r="C903" s="23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4.25" customHeight="1">
      <c r="A904" s="7"/>
      <c r="B904" s="7"/>
      <c r="C904" s="23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4.25" customHeight="1">
      <c r="A905" s="7"/>
      <c r="B905" s="7"/>
      <c r="C905" s="23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4.25" customHeight="1">
      <c r="A906" s="7"/>
      <c r="B906" s="7"/>
      <c r="C906" s="23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4.25" customHeight="1">
      <c r="A907" s="7"/>
      <c r="B907" s="7"/>
      <c r="C907" s="23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4.25" customHeight="1">
      <c r="A908" s="7"/>
      <c r="B908" s="7"/>
      <c r="C908" s="23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4.25" customHeight="1">
      <c r="A909" s="7"/>
      <c r="B909" s="7"/>
      <c r="C909" s="23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4.25" customHeight="1">
      <c r="A910" s="7"/>
      <c r="B910" s="7"/>
      <c r="C910" s="23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4.25" customHeight="1">
      <c r="A911" s="7"/>
      <c r="B911" s="7"/>
      <c r="C911" s="23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4.25" customHeight="1">
      <c r="A912" s="7"/>
      <c r="B912" s="7"/>
      <c r="C912" s="23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4.25" customHeight="1">
      <c r="A913" s="7"/>
      <c r="B913" s="7"/>
      <c r="C913" s="23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4.25" customHeight="1">
      <c r="A914" s="7"/>
      <c r="B914" s="7"/>
      <c r="C914" s="23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4.25" customHeight="1">
      <c r="A915" s="7"/>
      <c r="B915" s="7"/>
      <c r="C915" s="23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4.25" customHeight="1">
      <c r="A916" s="7"/>
      <c r="B916" s="7"/>
      <c r="C916" s="23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4.25" customHeight="1">
      <c r="A917" s="7"/>
      <c r="B917" s="7"/>
      <c r="C917" s="23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4.25" customHeight="1">
      <c r="A918" s="7"/>
      <c r="B918" s="7"/>
      <c r="C918" s="23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4.25" customHeight="1">
      <c r="A919" s="7"/>
      <c r="B919" s="7"/>
      <c r="C919" s="23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4.25" customHeight="1">
      <c r="A920" s="7"/>
      <c r="B920" s="7"/>
      <c r="C920" s="23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4.25" customHeight="1">
      <c r="A921" s="7"/>
      <c r="B921" s="7"/>
      <c r="C921" s="23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4.25" customHeight="1">
      <c r="A922" s="7"/>
      <c r="B922" s="7"/>
      <c r="C922" s="23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4.25" customHeight="1">
      <c r="A923" s="7"/>
      <c r="B923" s="7"/>
      <c r="C923" s="23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4.25" customHeight="1">
      <c r="A924" s="7"/>
      <c r="B924" s="7"/>
      <c r="C924" s="23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4.25" customHeight="1">
      <c r="A925" s="7"/>
      <c r="B925" s="7"/>
      <c r="C925" s="23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4.25" customHeight="1">
      <c r="A926" s="7"/>
      <c r="B926" s="7"/>
      <c r="C926" s="23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4.25" customHeight="1">
      <c r="A927" s="7"/>
      <c r="B927" s="7"/>
      <c r="C927" s="23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4.25" customHeight="1">
      <c r="A928" s="7"/>
      <c r="B928" s="7"/>
      <c r="C928" s="23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4.25" customHeight="1">
      <c r="A929" s="7"/>
      <c r="B929" s="7"/>
      <c r="C929" s="23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4.25" customHeight="1">
      <c r="A930" s="7"/>
      <c r="B930" s="7"/>
      <c r="C930" s="23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4.25" customHeight="1">
      <c r="A931" s="7"/>
      <c r="B931" s="7"/>
      <c r="C931" s="23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4.25" customHeight="1">
      <c r="A932" s="7"/>
      <c r="B932" s="7"/>
      <c r="C932" s="23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4.25" customHeight="1">
      <c r="A933" s="7"/>
      <c r="B933" s="7"/>
      <c r="C933" s="23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4.25" customHeight="1">
      <c r="A934" s="7"/>
      <c r="B934" s="7"/>
      <c r="C934" s="23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4.25" customHeight="1">
      <c r="A935" s="7"/>
      <c r="B935" s="7"/>
      <c r="C935" s="23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4.25" customHeight="1">
      <c r="A936" s="7"/>
      <c r="B936" s="7"/>
      <c r="C936" s="23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4.25" customHeight="1">
      <c r="A937" s="7"/>
      <c r="B937" s="7"/>
      <c r="C937" s="23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4.25" customHeight="1">
      <c r="A938" s="7"/>
      <c r="B938" s="7"/>
      <c r="C938" s="23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4.25" customHeight="1">
      <c r="A939" s="7"/>
      <c r="B939" s="7"/>
      <c r="C939" s="23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4.25" customHeight="1">
      <c r="A940" s="7"/>
      <c r="B940" s="7"/>
      <c r="C940" s="23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4.25" customHeight="1">
      <c r="A941" s="7"/>
      <c r="B941" s="7"/>
      <c r="C941" s="23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4.25" customHeight="1">
      <c r="A942" s="7"/>
      <c r="B942" s="7"/>
      <c r="C942" s="23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4.25" customHeight="1">
      <c r="A943" s="7"/>
      <c r="B943" s="7"/>
      <c r="C943" s="23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4.25" customHeight="1">
      <c r="A944" s="7"/>
      <c r="B944" s="7"/>
      <c r="C944" s="23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4.25" customHeight="1">
      <c r="A945" s="7"/>
      <c r="B945" s="7"/>
      <c r="C945" s="23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4.25" customHeight="1">
      <c r="A946" s="7"/>
      <c r="B946" s="7"/>
      <c r="C946" s="23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4.25" customHeight="1">
      <c r="A947" s="7"/>
      <c r="B947" s="7"/>
      <c r="C947" s="23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4.25" customHeight="1">
      <c r="A948" s="7"/>
      <c r="B948" s="7"/>
      <c r="C948" s="23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4.25" customHeight="1">
      <c r="A949" s="7"/>
      <c r="B949" s="7"/>
      <c r="C949" s="23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4.25" customHeight="1">
      <c r="A950" s="7"/>
      <c r="B950" s="7"/>
      <c r="C950" s="23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4.25" customHeight="1">
      <c r="A951" s="7"/>
      <c r="B951" s="7"/>
      <c r="C951" s="23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4.25" customHeight="1">
      <c r="A952" s="7"/>
      <c r="B952" s="7"/>
      <c r="C952" s="23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4.25" customHeight="1">
      <c r="A953" s="7"/>
      <c r="B953" s="7"/>
      <c r="C953" s="23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4.25" customHeight="1">
      <c r="A954" s="7"/>
      <c r="B954" s="7"/>
      <c r="C954" s="23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4.25" customHeight="1">
      <c r="A955" s="7"/>
      <c r="B955" s="7"/>
      <c r="C955" s="23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4.25" customHeight="1">
      <c r="A956" s="7"/>
      <c r="B956" s="7"/>
      <c r="C956" s="23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4.25" customHeight="1">
      <c r="A957" s="7"/>
      <c r="B957" s="7"/>
      <c r="C957" s="23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4.25" customHeight="1">
      <c r="A958" s="7"/>
      <c r="B958" s="7"/>
      <c r="C958" s="23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4.25" customHeight="1">
      <c r="A959" s="7"/>
      <c r="B959" s="7"/>
      <c r="C959" s="23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4.25" customHeight="1">
      <c r="A960" s="7"/>
      <c r="B960" s="7"/>
      <c r="C960" s="23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4.25" customHeight="1">
      <c r="A961" s="7"/>
      <c r="B961" s="7"/>
      <c r="C961" s="23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4.25" customHeight="1">
      <c r="A962" s="7"/>
      <c r="B962" s="7"/>
      <c r="C962" s="23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4.25" customHeight="1">
      <c r="A963" s="7"/>
      <c r="B963" s="7"/>
      <c r="C963" s="23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4.25" customHeight="1">
      <c r="A964" s="7"/>
      <c r="B964" s="7"/>
      <c r="C964" s="23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4.25" customHeight="1">
      <c r="A965" s="7"/>
      <c r="B965" s="7"/>
      <c r="C965" s="23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4.25" customHeight="1">
      <c r="A966" s="7"/>
      <c r="B966" s="7"/>
      <c r="C966" s="23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4.25" customHeight="1">
      <c r="A967" s="7"/>
      <c r="B967" s="7"/>
      <c r="C967" s="23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4.25" customHeight="1">
      <c r="A968" s="7"/>
      <c r="B968" s="7"/>
      <c r="C968" s="23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4.25" customHeight="1">
      <c r="A969" s="7"/>
      <c r="B969" s="7"/>
      <c r="C969" s="23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4.25" customHeight="1">
      <c r="A970" s="7"/>
      <c r="B970" s="7"/>
      <c r="C970" s="23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4.25" customHeight="1">
      <c r="A971" s="7"/>
      <c r="B971" s="7"/>
      <c r="C971" s="23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4.25" customHeight="1">
      <c r="A972" s="7"/>
      <c r="B972" s="7"/>
      <c r="C972" s="23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4.25" customHeight="1">
      <c r="A973" s="7"/>
      <c r="B973" s="7"/>
      <c r="C973" s="23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4.25" customHeight="1">
      <c r="A974" s="7"/>
      <c r="B974" s="7"/>
      <c r="C974" s="23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4.25" customHeight="1">
      <c r="A975" s="7"/>
      <c r="B975" s="7"/>
      <c r="C975" s="23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4.25" customHeight="1">
      <c r="A976" s="7"/>
      <c r="B976" s="7"/>
      <c r="C976" s="23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4.25" customHeight="1">
      <c r="A977" s="7"/>
      <c r="B977" s="7"/>
      <c r="C977" s="23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4.25" customHeight="1">
      <c r="A978" s="7"/>
      <c r="B978" s="7"/>
      <c r="C978" s="23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4.25" customHeight="1">
      <c r="A979" s="7"/>
      <c r="B979" s="7"/>
      <c r="C979" s="23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4.25" customHeight="1">
      <c r="A980" s="7"/>
      <c r="B980" s="7"/>
      <c r="C980" s="23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4.25" customHeight="1">
      <c r="A981" s="7"/>
      <c r="B981" s="7"/>
      <c r="C981" s="23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4.25" customHeight="1">
      <c r="A982" s="7"/>
      <c r="B982" s="7"/>
      <c r="C982" s="23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4.25" customHeight="1">
      <c r="A983" s="7"/>
      <c r="B983" s="7"/>
      <c r="C983" s="23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4.25" customHeight="1">
      <c r="A984" s="7"/>
      <c r="B984" s="7"/>
      <c r="C984" s="23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4.25" customHeight="1">
      <c r="A985" s="7"/>
      <c r="B985" s="7"/>
      <c r="C985" s="23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4.25" customHeight="1">
      <c r="A986" s="7"/>
      <c r="B986" s="7"/>
      <c r="C986" s="23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4.25" customHeight="1">
      <c r="A987" s="7"/>
      <c r="B987" s="7"/>
      <c r="C987" s="23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4.25" customHeight="1">
      <c r="A988" s="7"/>
      <c r="B988" s="7"/>
      <c r="C988" s="23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4.25" customHeight="1">
      <c r="A989" s="7"/>
      <c r="B989" s="7"/>
      <c r="C989" s="23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4.25" customHeight="1">
      <c r="A990" s="7"/>
      <c r="B990" s="7"/>
      <c r="C990" s="23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4.25" customHeight="1">
      <c r="A991" s="7"/>
      <c r="B991" s="7"/>
      <c r="C991" s="23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4.25" customHeight="1">
      <c r="A992" s="7"/>
      <c r="B992" s="7"/>
      <c r="C992" s="23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4.25" customHeight="1">
      <c r="A993" s="7"/>
      <c r="B993" s="7"/>
      <c r="C993" s="23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4.25" customHeight="1">
      <c r="A994" s="7"/>
      <c r="B994" s="7"/>
      <c r="C994" s="23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4.25" customHeight="1">
      <c r="A995" s="7"/>
      <c r="B995" s="7"/>
      <c r="C995" s="23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4.25" customHeight="1">
      <c r="A996" s="7"/>
      <c r="B996" s="7"/>
      <c r="C996" s="23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4.25" customHeight="1">
      <c r="A997" s="7"/>
      <c r="B997" s="7"/>
      <c r="C997" s="23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4.25" customHeight="1">
      <c r="A998" s="7"/>
      <c r="B998" s="7"/>
      <c r="C998" s="23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4.25" customHeight="1">
      <c r="A999" s="7"/>
      <c r="B999" s="7"/>
      <c r="C999" s="23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4.25" customHeight="1">
      <c r="A1000" s="7"/>
      <c r="B1000" s="7"/>
      <c r="C1000" s="23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dataValidations>
    <dataValidation type="list" allowBlank="1" showErrorMessage="1" sqref="A2:A54">
      <formula1>MACROZONAS!$B$2:$B$8</formula1>
    </dataValidation>
    <dataValidation type="list" allowBlank="1" showErrorMessage="1" sqref="B2:B54">
      <formula1>SETORES!$B$2:$B$18</formula1>
    </dataValidation>
  </dataValidations>
  <printOptions/>
  <pageMargins bottom="0.787401575" footer="0.0" header="0.0" left="0.511811024" right="0.511811024" top="0.787401575"/>
  <pageSetup orientation="landscape"/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1E4F5"/>
    <pageSetUpPr/>
  </sheetPr>
  <sheetViews>
    <sheetView workbookViewId="0"/>
  </sheetViews>
  <sheetFormatPr customHeight="1" defaultColWidth="12.63" defaultRowHeight="15.0"/>
  <cols>
    <col customWidth="1" min="1" max="26" width="29.5"/>
  </cols>
  <sheetData>
    <row r="1" ht="14.25" customHeight="1">
      <c r="A1" s="24" t="s">
        <v>46</v>
      </c>
      <c r="B1" s="24" t="s">
        <v>47</v>
      </c>
      <c r="C1" s="24" t="s">
        <v>167</v>
      </c>
      <c r="D1" s="24" t="s">
        <v>158</v>
      </c>
      <c r="E1" s="24" t="s">
        <v>159</v>
      </c>
      <c r="F1" s="24" t="s">
        <v>160</v>
      </c>
      <c r="G1" s="24" t="s">
        <v>127</v>
      </c>
      <c r="H1" s="24" t="s">
        <v>168</v>
      </c>
      <c r="I1" s="24" t="s">
        <v>169</v>
      </c>
      <c r="J1" s="24" t="s">
        <v>170</v>
      </c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4.25" customHeight="1">
      <c r="A2" s="25" t="s">
        <v>33</v>
      </c>
      <c r="B2" s="17" t="s">
        <v>12</v>
      </c>
      <c r="C2" s="26">
        <v>60.0</v>
      </c>
      <c r="D2" s="25"/>
      <c r="E2" s="25">
        <v>2.0</v>
      </c>
      <c r="F2" s="25"/>
      <c r="G2" s="17" t="s">
        <v>130</v>
      </c>
      <c r="H2" s="17">
        <v>1.0</v>
      </c>
      <c r="I2" s="17">
        <f t="array" ref="I2">XLOOKUP(Q.A!$A2,MACROZONAS!B:B,MACROZONAS!A:A)</f>
        <v>1</v>
      </c>
      <c r="J2" s="17">
        <f t="array" ref="J2">XLOOKUP(Q.A!$B2,SETORES!B:B,SETORES!A:A)</f>
        <v>1</v>
      </c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4.25" customHeight="1">
      <c r="A3" s="25" t="s">
        <v>33</v>
      </c>
      <c r="B3" s="17" t="s">
        <v>34</v>
      </c>
      <c r="C3" s="26">
        <v>60.0</v>
      </c>
      <c r="D3" s="25"/>
      <c r="E3" s="25">
        <v>2.0</v>
      </c>
      <c r="F3" s="25"/>
      <c r="G3" s="17" t="s">
        <v>130</v>
      </c>
      <c r="H3" s="17">
        <v>2.0</v>
      </c>
      <c r="I3" s="17">
        <f t="array" ref="I3">XLOOKUP(Q.A!$A3,MACROZONAS!B:B,MACROZONAS!A:A)</f>
        <v>1</v>
      </c>
      <c r="J3" s="17">
        <f t="array" ref="J3">XLOOKUP(Q.A!$B3,SETORES!B:B,SETORES!A:A)</f>
        <v>2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4.25" customHeight="1">
      <c r="A4" s="25" t="s">
        <v>33</v>
      </c>
      <c r="B4" s="17" t="s">
        <v>41</v>
      </c>
      <c r="C4" s="26">
        <v>60.0</v>
      </c>
      <c r="D4" s="17"/>
      <c r="E4" s="25">
        <v>2.0</v>
      </c>
      <c r="F4" s="17"/>
      <c r="G4" s="17" t="s">
        <v>130</v>
      </c>
      <c r="H4" s="17">
        <v>3.0</v>
      </c>
      <c r="I4" s="17">
        <f t="array" ref="I4">XLOOKUP(Q.A!$A4,MACROZONAS!B:B,MACROZONAS!A:A)</f>
        <v>1</v>
      </c>
      <c r="J4" s="17">
        <f t="array" ref="J4">XLOOKUP(Q.A!$B4,SETORES!B:B,SETORES!A:A)</f>
        <v>3</v>
      </c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4.25" customHeight="1">
      <c r="A5" s="25" t="s">
        <v>33</v>
      </c>
      <c r="B5" s="17" t="s">
        <v>25</v>
      </c>
      <c r="C5" s="26">
        <v>60.0</v>
      </c>
      <c r="D5" s="17"/>
      <c r="E5" s="25">
        <v>2.0</v>
      </c>
      <c r="F5" s="17"/>
      <c r="G5" s="17" t="s">
        <v>130</v>
      </c>
      <c r="H5" s="17">
        <v>4.0</v>
      </c>
      <c r="I5" s="17">
        <f t="array" ref="I5">XLOOKUP(Q.A!$A5,MACROZONAS!B:B,MACROZONAS!A:A)</f>
        <v>1</v>
      </c>
      <c r="J5" s="17">
        <f t="array" ref="J5">XLOOKUP(Q.A!$B5,SETORES!B:B,SETORES!A:A)</f>
        <v>4</v>
      </c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4.25" customHeight="1">
      <c r="A6" s="25" t="s">
        <v>33</v>
      </c>
      <c r="B6" s="17" t="s">
        <v>17</v>
      </c>
      <c r="C6" s="26">
        <v>60.0</v>
      </c>
      <c r="D6" s="17"/>
      <c r="E6" s="25">
        <v>2.0</v>
      </c>
      <c r="F6" s="17"/>
      <c r="G6" s="17" t="s">
        <v>130</v>
      </c>
      <c r="H6" s="17">
        <v>5.0</v>
      </c>
      <c r="I6" s="17">
        <f t="array" ref="I6">XLOOKUP(Q.A!$A6,MACROZONAS!B:B,MACROZONAS!A:A)</f>
        <v>1</v>
      </c>
      <c r="J6" s="17">
        <f t="array" ref="J6">XLOOKUP(Q.A!$B6,SETORES!B:B,SETORES!A:A)</f>
        <v>5</v>
      </c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4.25" customHeight="1">
      <c r="A7" s="25" t="s">
        <v>33</v>
      </c>
      <c r="B7" s="17" t="s">
        <v>121</v>
      </c>
      <c r="C7" s="26">
        <v>60.0</v>
      </c>
      <c r="D7" s="17"/>
      <c r="E7" s="25">
        <v>2.0</v>
      </c>
      <c r="F7" s="17"/>
      <c r="G7" s="17" t="s">
        <v>130</v>
      </c>
      <c r="H7" s="17">
        <v>6.0</v>
      </c>
      <c r="I7" s="17">
        <f t="array" ref="I7">XLOOKUP(Q.A!$A7,MACROZONAS!B:B,MACROZONAS!A:A)</f>
        <v>1</v>
      </c>
      <c r="J7" s="17">
        <f t="array" ref="J7">XLOOKUP(Q.A!$B7,SETORES!B:B,SETORES!A:A)</f>
        <v>6</v>
      </c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4.25" customHeight="1">
      <c r="A8" s="25" t="s">
        <v>33</v>
      </c>
      <c r="B8" s="17" t="s">
        <v>37</v>
      </c>
      <c r="C8" s="26">
        <v>60.0</v>
      </c>
      <c r="D8" s="17"/>
      <c r="E8" s="25">
        <v>2.0</v>
      </c>
      <c r="F8" s="17"/>
      <c r="G8" s="17" t="s">
        <v>130</v>
      </c>
      <c r="H8" s="17">
        <v>7.0</v>
      </c>
      <c r="I8" s="17">
        <f t="array" ref="I8">XLOOKUP(Q.A!$A8,MACROZONAS!B:B,MACROZONAS!A:A)</f>
        <v>1</v>
      </c>
      <c r="J8" s="17">
        <f t="array" ref="J8">XLOOKUP(Q.A!$B8,SETORES!B:B,SETORES!A:A)</f>
        <v>7</v>
      </c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4.25" customHeight="1">
      <c r="A9" s="25" t="s">
        <v>33</v>
      </c>
      <c r="B9" s="17" t="s">
        <v>36</v>
      </c>
      <c r="C9" s="26">
        <v>60.0</v>
      </c>
      <c r="D9" s="17"/>
      <c r="E9" s="25">
        <v>2.0</v>
      </c>
      <c r="F9" s="17"/>
      <c r="G9" s="17" t="s">
        <v>130</v>
      </c>
      <c r="H9" s="17">
        <v>8.0</v>
      </c>
      <c r="I9" s="17">
        <f t="array" ref="I9">XLOOKUP(Q.A!$A9,MACROZONAS!B:B,MACROZONAS!A:A)</f>
        <v>1</v>
      </c>
      <c r="J9" s="17">
        <f t="array" ref="J9">XLOOKUP(Q.A!$B9,SETORES!B:B,SETORES!A:A)</f>
        <v>8</v>
      </c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4.25" customHeight="1">
      <c r="A10" s="25" t="s">
        <v>33</v>
      </c>
      <c r="B10" s="17" t="s">
        <v>15</v>
      </c>
      <c r="C10" s="26">
        <v>60.0</v>
      </c>
      <c r="D10" s="17"/>
      <c r="E10" s="25">
        <v>2.0</v>
      </c>
      <c r="F10" s="17"/>
      <c r="G10" s="17" t="s">
        <v>130</v>
      </c>
      <c r="H10" s="17">
        <v>9.0</v>
      </c>
      <c r="I10" s="17">
        <f t="array" ref="I10">XLOOKUP(Q.A!$A10,MACROZONAS!B:B,MACROZONAS!A:A)</f>
        <v>1</v>
      </c>
      <c r="J10" s="17">
        <f t="array" ref="J10">XLOOKUP(Q.A!$B10,SETORES!B:B,SETORES!A:A)</f>
        <v>9</v>
      </c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4.25" customHeight="1">
      <c r="A11" s="25" t="s">
        <v>33</v>
      </c>
      <c r="B11" s="17" t="s">
        <v>38</v>
      </c>
      <c r="C11" s="26">
        <v>60.0</v>
      </c>
      <c r="D11" s="17"/>
      <c r="E11" s="25">
        <v>2.0</v>
      </c>
      <c r="F11" s="17"/>
      <c r="G11" s="17" t="s">
        <v>130</v>
      </c>
      <c r="H11" s="17">
        <v>10.0</v>
      </c>
      <c r="I11" s="17">
        <f t="array" ref="I11">XLOOKUP(Q.A!$A11,MACROZONAS!B:B,MACROZONAS!A:A)</f>
        <v>1</v>
      </c>
      <c r="J11" s="17">
        <f t="array" ref="J11">XLOOKUP(Q.A!$B11,SETORES!B:B,SETORES!A:A)</f>
        <v>10</v>
      </c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4.25" customHeight="1">
      <c r="A12" s="25" t="s">
        <v>33</v>
      </c>
      <c r="B12" s="17" t="s">
        <v>40</v>
      </c>
      <c r="C12" s="26">
        <v>60.0</v>
      </c>
      <c r="D12" s="17"/>
      <c r="E12" s="25">
        <v>2.0</v>
      </c>
      <c r="F12" s="17"/>
      <c r="G12" s="17" t="s">
        <v>130</v>
      </c>
      <c r="H12" s="17">
        <v>11.0</v>
      </c>
      <c r="I12" s="17">
        <f t="array" ref="I12">XLOOKUP(Q.A!$A12,MACROZONAS!B:B,MACROZONAS!A:A)</f>
        <v>1</v>
      </c>
      <c r="J12" s="17">
        <f t="array" ref="J12">XLOOKUP(Q.A!$B12,SETORES!B:B,SETORES!A:A)</f>
        <v>11</v>
      </c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4.25" customHeight="1">
      <c r="A13" s="25" t="s">
        <v>33</v>
      </c>
      <c r="B13" s="17" t="s">
        <v>20</v>
      </c>
      <c r="C13" s="26">
        <v>60.0</v>
      </c>
      <c r="D13" s="17"/>
      <c r="E13" s="25">
        <v>2.0</v>
      </c>
      <c r="F13" s="17"/>
      <c r="G13" s="17" t="s">
        <v>130</v>
      </c>
      <c r="H13" s="17">
        <v>12.0</v>
      </c>
      <c r="I13" s="17">
        <f t="array" ref="I13">XLOOKUP(Q.A!$A13,MACROZONAS!B:B,MACROZONAS!A:A)</f>
        <v>1</v>
      </c>
      <c r="J13" s="17">
        <f t="array" ref="J13">XLOOKUP(Q.A!$B13,SETORES!B:B,SETORES!A:A)</f>
        <v>12</v>
      </c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4.25" customHeight="1">
      <c r="A14" s="25" t="s">
        <v>33</v>
      </c>
      <c r="B14" s="17" t="s">
        <v>27</v>
      </c>
      <c r="C14" s="26">
        <v>60.0</v>
      </c>
      <c r="D14" s="17"/>
      <c r="E14" s="25">
        <v>2.0</v>
      </c>
      <c r="F14" s="17"/>
      <c r="G14" s="17" t="s">
        <v>130</v>
      </c>
      <c r="H14" s="17">
        <v>13.0</v>
      </c>
      <c r="I14" s="17">
        <f t="array" ref="I14">XLOOKUP(Q.A!$A14,MACROZONAS!B:B,MACROZONAS!A:A)</f>
        <v>1</v>
      </c>
      <c r="J14" s="17">
        <f t="array" ref="J14">XLOOKUP(Q.A!$B14,SETORES!B:B,SETORES!A:A)</f>
        <v>13</v>
      </c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4.25" customHeight="1">
      <c r="A15" s="25" t="s">
        <v>33</v>
      </c>
      <c r="B15" s="17" t="s">
        <v>24</v>
      </c>
      <c r="C15" s="26">
        <v>60.0</v>
      </c>
      <c r="D15" s="17"/>
      <c r="E15" s="25">
        <v>2.0</v>
      </c>
      <c r="F15" s="17"/>
      <c r="G15" s="17" t="s">
        <v>130</v>
      </c>
      <c r="H15" s="17">
        <v>14.0</v>
      </c>
      <c r="I15" s="17">
        <f t="array" ref="I15">XLOOKUP(Q.A!$A15,MACROZONAS!B:B,MACROZONAS!A:A)</f>
        <v>1</v>
      </c>
      <c r="J15" s="17">
        <f t="array" ref="J15">XLOOKUP(Q.A!$B15,SETORES!B:B,SETORES!A:A)</f>
        <v>14</v>
      </c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4.25" customHeight="1">
      <c r="A16" s="25" t="s">
        <v>33</v>
      </c>
      <c r="B16" s="17" t="s">
        <v>23</v>
      </c>
      <c r="C16" s="26">
        <v>60.0</v>
      </c>
      <c r="D16" s="17"/>
      <c r="E16" s="25">
        <v>2.0</v>
      </c>
      <c r="F16" s="17"/>
      <c r="G16" s="17" t="s">
        <v>130</v>
      </c>
      <c r="H16" s="17">
        <v>15.0</v>
      </c>
      <c r="I16" s="17">
        <f t="array" ref="I16">XLOOKUP(Q.A!$A16,MACROZONAS!B:B,MACROZONAS!A:A)</f>
        <v>1</v>
      </c>
      <c r="J16" s="17">
        <f t="array" ref="J16">XLOOKUP(Q.A!$B16,SETORES!B:B,SETORES!A:A)</f>
        <v>15</v>
      </c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4.25" customHeight="1">
      <c r="A17" s="25" t="s">
        <v>33</v>
      </c>
      <c r="B17" s="17" t="s">
        <v>35</v>
      </c>
      <c r="C17" s="26">
        <v>60.0</v>
      </c>
      <c r="D17" s="17"/>
      <c r="E17" s="25">
        <v>2.0</v>
      </c>
      <c r="F17" s="17"/>
      <c r="G17" s="17" t="s">
        <v>130</v>
      </c>
      <c r="H17" s="17">
        <v>16.0</v>
      </c>
      <c r="I17" s="17">
        <f t="array" ref="I17">XLOOKUP(Q.A!$A17,MACROZONAS!B:B,MACROZONAS!A:A)</f>
        <v>1</v>
      </c>
      <c r="J17" s="17">
        <f t="array" ref="J17">XLOOKUP(Q.A!$B17,SETORES!B:B,SETORES!A:A)</f>
        <v>16</v>
      </c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4.25" customHeight="1">
      <c r="A18" s="25" t="s">
        <v>33</v>
      </c>
      <c r="B18" s="17" t="s">
        <v>26</v>
      </c>
      <c r="C18" s="26">
        <v>60.0</v>
      </c>
      <c r="D18" s="17"/>
      <c r="E18" s="25">
        <v>2.0</v>
      </c>
      <c r="F18" s="17"/>
      <c r="G18" s="17" t="s">
        <v>130</v>
      </c>
      <c r="H18" s="17">
        <v>17.0</v>
      </c>
      <c r="I18" s="17">
        <f t="array" ref="I18">XLOOKUP(Q.A!$A18,MACROZONAS!B:B,MACROZONAS!A:A)</f>
        <v>1</v>
      </c>
      <c r="J18" s="17">
        <f t="array" ref="J18">XLOOKUP(Q.A!$B18,SETORES!B:B,SETORES!A:A)</f>
        <v>17</v>
      </c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4.25" customHeight="1">
      <c r="A19" s="25" t="s">
        <v>28</v>
      </c>
      <c r="B19" s="17" t="s">
        <v>12</v>
      </c>
      <c r="C19" s="16">
        <v>50.0</v>
      </c>
      <c r="D19" s="17"/>
      <c r="E19" s="25">
        <v>2.0</v>
      </c>
      <c r="F19" s="17"/>
      <c r="G19" s="17" t="s">
        <v>130</v>
      </c>
      <c r="H19" s="17">
        <v>18.0</v>
      </c>
      <c r="I19" s="17">
        <f t="array" ref="I19">XLOOKUP(Q.A!$A19,MACROZONAS!B:B,MACROZONAS!A:A)</f>
        <v>2</v>
      </c>
      <c r="J19" s="17">
        <f t="array" ref="J19">XLOOKUP(Q.A!$B19,SETORES!B:B,SETORES!A:A)</f>
        <v>1</v>
      </c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4.25" customHeight="1">
      <c r="A20" s="25" t="s">
        <v>28</v>
      </c>
      <c r="B20" s="17" t="s">
        <v>34</v>
      </c>
      <c r="C20" s="16">
        <v>50.0</v>
      </c>
      <c r="D20" s="17"/>
      <c r="E20" s="25">
        <v>2.0</v>
      </c>
      <c r="F20" s="17"/>
      <c r="G20" s="17" t="s">
        <v>130</v>
      </c>
      <c r="H20" s="17">
        <v>19.0</v>
      </c>
      <c r="I20" s="17">
        <f t="array" ref="I20">XLOOKUP(Q.A!$A20,MACROZONAS!B:B,MACROZONAS!A:A)</f>
        <v>2</v>
      </c>
      <c r="J20" s="17">
        <f t="array" ref="J20">XLOOKUP(Q.A!$B20,SETORES!B:B,SETORES!A:A)</f>
        <v>2</v>
      </c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4.25" customHeight="1">
      <c r="A21" s="25" t="s">
        <v>28</v>
      </c>
      <c r="B21" s="17" t="s">
        <v>41</v>
      </c>
      <c r="C21" s="16">
        <v>50.0</v>
      </c>
      <c r="D21" s="17"/>
      <c r="E21" s="25">
        <v>2.0</v>
      </c>
      <c r="F21" s="17"/>
      <c r="G21" s="17" t="s">
        <v>130</v>
      </c>
      <c r="H21" s="17">
        <v>20.0</v>
      </c>
      <c r="I21" s="17">
        <f t="array" ref="I21">XLOOKUP(Q.A!$A21,MACROZONAS!B:B,MACROZONAS!A:A)</f>
        <v>2</v>
      </c>
      <c r="J21" s="17">
        <f t="array" ref="J21">XLOOKUP(Q.A!$B21,SETORES!B:B,SETORES!A:A)</f>
        <v>3</v>
      </c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4.25" customHeight="1">
      <c r="A22" s="25" t="s">
        <v>28</v>
      </c>
      <c r="B22" s="17" t="s">
        <v>25</v>
      </c>
      <c r="C22" s="16">
        <v>50.0</v>
      </c>
      <c r="D22" s="17"/>
      <c r="E22" s="25">
        <v>2.0</v>
      </c>
      <c r="F22" s="17"/>
      <c r="G22" s="17" t="s">
        <v>130</v>
      </c>
      <c r="H22" s="17">
        <v>21.0</v>
      </c>
      <c r="I22" s="17">
        <f t="array" ref="I22">XLOOKUP(Q.A!$A22,MACROZONAS!B:B,MACROZONAS!A:A)</f>
        <v>2</v>
      </c>
      <c r="J22" s="17">
        <f t="array" ref="J22">XLOOKUP(Q.A!$B22,SETORES!B:B,SETORES!A:A)</f>
        <v>4</v>
      </c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4.25" customHeight="1">
      <c r="A23" s="25" t="s">
        <v>28</v>
      </c>
      <c r="B23" s="17" t="s">
        <v>17</v>
      </c>
      <c r="C23" s="16">
        <v>50.0</v>
      </c>
      <c r="D23" s="17"/>
      <c r="E23" s="25">
        <v>2.0</v>
      </c>
      <c r="F23" s="17"/>
      <c r="G23" s="17" t="s">
        <v>130</v>
      </c>
      <c r="H23" s="17">
        <v>22.0</v>
      </c>
      <c r="I23" s="17">
        <f t="array" ref="I23">XLOOKUP(Q.A!$A23,MACROZONAS!B:B,MACROZONAS!A:A)</f>
        <v>2</v>
      </c>
      <c r="J23" s="17">
        <f t="array" ref="J23">XLOOKUP(Q.A!$B23,SETORES!B:B,SETORES!A:A)</f>
        <v>5</v>
      </c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4.25" customHeight="1">
      <c r="A24" s="25" t="s">
        <v>28</v>
      </c>
      <c r="B24" s="17" t="s">
        <v>121</v>
      </c>
      <c r="C24" s="16">
        <v>50.0</v>
      </c>
      <c r="D24" s="17"/>
      <c r="E24" s="25">
        <v>2.0</v>
      </c>
      <c r="F24" s="17"/>
      <c r="G24" s="17" t="s">
        <v>130</v>
      </c>
      <c r="H24" s="17">
        <v>23.0</v>
      </c>
      <c r="I24" s="17">
        <f t="array" ref="I24">XLOOKUP(Q.A!$A24,MACROZONAS!B:B,MACROZONAS!A:A)</f>
        <v>2</v>
      </c>
      <c r="J24" s="17">
        <f t="array" ref="J24">XLOOKUP(Q.A!$B24,SETORES!B:B,SETORES!A:A)</f>
        <v>6</v>
      </c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4.25" customHeight="1">
      <c r="A25" s="25" t="s">
        <v>28</v>
      </c>
      <c r="B25" s="17" t="s">
        <v>37</v>
      </c>
      <c r="C25" s="16">
        <v>50.0</v>
      </c>
      <c r="D25" s="17"/>
      <c r="E25" s="25">
        <v>2.0</v>
      </c>
      <c r="F25" s="17"/>
      <c r="G25" s="17" t="s">
        <v>130</v>
      </c>
      <c r="H25" s="17">
        <v>24.0</v>
      </c>
      <c r="I25" s="17">
        <f t="array" ref="I25">XLOOKUP(Q.A!$A25,MACROZONAS!B:B,MACROZONAS!A:A)</f>
        <v>2</v>
      </c>
      <c r="J25" s="17">
        <f t="array" ref="J25">XLOOKUP(Q.A!$B25,SETORES!B:B,SETORES!A:A)</f>
        <v>7</v>
      </c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4.25" customHeight="1">
      <c r="A26" s="25" t="s">
        <v>28</v>
      </c>
      <c r="B26" s="17" t="s">
        <v>36</v>
      </c>
      <c r="C26" s="16">
        <v>50.0</v>
      </c>
      <c r="D26" s="17"/>
      <c r="E26" s="25">
        <v>2.0</v>
      </c>
      <c r="F26" s="17"/>
      <c r="G26" s="17" t="s">
        <v>130</v>
      </c>
      <c r="H26" s="17">
        <v>25.0</v>
      </c>
      <c r="I26" s="17">
        <f t="array" ref="I26">XLOOKUP(Q.A!$A26,MACROZONAS!B:B,MACROZONAS!A:A)</f>
        <v>2</v>
      </c>
      <c r="J26" s="17">
        <f t="array" ref="J26">XLOOKUP(Q.A!$B26,SETORES!B:B,SETORES!A:A)</f>
        <v>8</v>
      </c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4.25" customHeight="1">
      <c r="A27" s="25" t="s">
        <v>28</v>
      </c>
      <c r="B27" s="17" t="s">
        <v>15</v>
      </c>
      <c r="C27" s="16">
        <v>50.0</v>
      </c>
      <c r="D27" s="17"/>
      <c r="E27" s="25">
        <v>2.0</v>
      </c>
      <c r="F27" s="17"/>
      <c r="G27" s="17" t="s">
        <v>130</v>
      </c>
      <c r="H27" s="17">
        <v>26.0</v>
      </c>
      <c r="I27" s="17">
        <f t="array" ref="I27">XLOOKUP(Q.A!$A27,MACROZONAS!B:B,MACROZONAS!A:A)</f>
        <v>2</v>
      </c>
      <c r="J27" s="17">
        <f t="array" ref="J27">XLOOKUP(Q.A!$B27,SETORES!B:B,SETORES!A:A)</f>
        <v>9</v>
      </c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4.25" customHeight="1">
      <c r="A28" s="25" t="s">
        <v>28</v>
      </c>
      <c r="B28" s="17" t="s">
        <v>38</v>
      </c>
      <c r="C28" s="16">
        <v>50.0</v>
      </c>
      <c r="D28" s="17"/>
      <c r="E28" s="25">
        <v>2.0</v>
      </c>
      <c r="F28" s="17"/>
      <c r="G28" s="17" t="s">
        <v>130</v>
      </c>
      <c r="H28" s="17">
        <v>27.0</v>
      </c>
      <c r="I28" s="17">
        <f t="array" ref="I28">XLOOKUP(Q.A!$A28,MACROZONAS!B:B,MACROZONAS!A:A)</f>
        <v>2</v>
      </c>
      <c r="J28" s="17">
        <f t="array" ref="J28">XLOOKUP(Q.A!$B28,SETORES!B:B,SETORES!A:A)</f>
        <v>10</v>
      </c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4.25" customHeight="1">
      <c r="A29" s="25" t="s">
        <v>28</v>
      </c>
      <c r="B29" s="17" t="s">
        <v>40</v>
      </c>
      <c r="C29" s="16">
        <v>50.0</v>
      </c>
      <c r="D29" s="17"/>
      <c r="E29" s="25">
        <v>2.0</v>
      </c>
      <c r="F29" s="17"/>
      <c r="G29" s="17" t="s">
        <v>130</v>
      </c>
      <c r="H29" s="17">
        <v>28.0</v>
      </c>
      <c r="I29" s="17">
        <f t="array" ref="I29">XLOOKUP(Q.A!$A29,MACROZONAS!B:B,MACROZONAS!A:A)</f>
        <v>2</v>
      </c>
      <c r="J29" s="17">
        <f t="array" ref="J29">XLOOKUP(Q.A!$B29,SETORES!B:B,SETORES!A:A)</f>
        <v>11</v>
      </c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4.25" customHeight="1">
      <c r="A30" s="25" t="s">
        <v>28</v>
      </c>
      <c r="B30" s="17" t="s">
        <v>20</v>
      </c>
      <c r="C30" s="16">
        <v>50.0</v>
      </c>
      <c r="D30" s="17"/>
      <c r="E30" s="25">
        <v>2.0</v>
      </c>
      <c r="F30" s="17"/>
      <c r="G30" s="17" t="s">
        <v>130</v>
      </c>
      <c r="H30" s="17">
        <v>29.0</v>
      </c>
      <c r="I30" s="17">
        <f t="array" ref="I30">XLOOKUP(Q.A!$A30,MACROZONAS!B:B,MACROZONAS!A:A)</f>
        <v>2</v>
      </c>
      <c r="J30" s="17">
        <f t="array" ref="J30">XLOOKUP(Q.A!$B30,SETORES!B:B,SETORES!A:A)</f>
        <v>12</v>
      </c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4.25" customHeight="1">
      <c r="A31" s="25" t="s">
        <v>28</v>
      </c>
      <c r="B31" s="17" t="s">
        <v>27</v>
      </c>
      <c r="C31" s="16">
        <v>50.0</v>
      </c>
      <c r="D31" s="17"/>
      <c r="E31" s="25">
        <v>2.0</v>
      </c>
      <c r="F31" s="17"/>
      <c r="G31" s="17" t="s">
        <v>130</v>
      </c>
      <c r="H31" s="17">
        <v>30.0</v>
      </c>
      <c r="I31" s="17">
        <f t="array" ref="I31">XLOOKUP(Q.A!$A31,MACROZONAS!B:B,MACROZONAS!A:A)</f>
        <v>2</v>
      </c>
      <c r="J31" s="17">
        <f t="array" ref="J31">XLOOKUP(Q.A!$B31,SETORES!B:B,SETORES!A:A)</f>
        <v>13</v>
      </c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4.25" customHeight="1">
      <c r="A32" s="25" t="s">
        <v>28</v>
      </c>
      <c r="B32" s="17" t="s">
        <v>24</v>
      </c>
      <c r="C32" s="16">
        <v>50.0</v>
      </c>
      <c r="D32" s="17"/>
      <c r="E32" s="25">
        <v>2.0</v>
      </c>
      <c r="F32" s="17"/>
      <c r="G32" s="17" t="s">
        <v>130</v>
      </c>
      <c r="H32" s="17">
        <v>31.0</v>
      </c>
      <c r="I32" s="17">
        <f t="array" ref="I32">XLOOKUP(Q.A!$A32,MACROZONAS!B:B,MACROZONAS!A:A)</f>
        <v>2</v>
      </c>
      <c r="J32" s="17">
        <f t="array" ref="J32">XLOOKUP(Q.A!$B32,SETORES!B:B,SETORES!A:A)</f>
        <v>14</v>
      </c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4.25" customHeight="1">
      <c r="A33" s="25" t="s">
        <v>28</v>
      </c>
      <c r="B33" s="17" t="s">
        <v>23</v>
      </c>
      <c r="C33" s="16">
        <v>50.0</v>
      </c>
      <c r="D33" s="17"/>
      <c r="E33" s="25">
        <v>2.0</v>
      </c>
      <c r="F33" s="17"/>
      <c r="G33" s="17" t="s">
        <v>130</v>
      </c>
      <c r="H33" s="17">
        <v>32.0</v>
      </c>
      <c r="I33" s="17">
        <f t="array" ref="I33">XLOOKUP(Q.A!$A33,MACROZONAS!B:B,MACROZONAS!A:A)</f>
        <v>2</v>
      </c>
      <c r="J33" s="17">
        <f t="array" ref="J33">XLOOKUP(Q.A!$B33,SETORES!B:B,SETORES!A:A)</f>
        <v>15</v>
      </c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4.25" customHeight="1">
      <c r="A34" s="25" t="s">
        <v>28</v>
      </c>
      <c r="B34" s="17" t="s">
        <v>35</v>
      </c>
      <c r="C34" s="16">
        <v>50.0</v>
      </c>
      <c r="D34" s="17"/>
      <c r="E34" s="25">
        <v>2.0</v>
      </c>
      <c r="F34" s="17"/>
      <c r="G34" s="17" t="s">
        <v>130</v>
      </c>
      <c r="H34" s="17">
        <v>33.0</v>
      </c>
      <c r="I34" s="17">
        <f t="array" ref="I34">XLOOKUP(Q.A!$A34,MACROZONAS!B:B,MACROZONAS!A:A)</f>
        <v>2</v>
      </c>
      <c r="J34" s="17">
        <f t="array" ref="J34">XLOOKUP(Q.A!$B34,SETORES!B:B,SETORES!A:A)</f>
        <v>16</v>
      </c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4.25" customHeight="1">
      <c r="A35" s="25" t="s">
        <v>28</v>
      </c>
      <c r="B35" s="17" t="s">
        <v>26</v>
      </c>
      <c r="C35" s="16">
        <v>50.0</v>
      </c>
      <c r="D35" s="17"/>
      <c r="E35" s="25">
        <v>2.0</v>
      </c>
      <c r="F35" s="17"/>
      <c r="G35" s="17" t="s">
        <v>130</v>
      </c>
      <c r="H35" s="17">
        <v>34.0</v>
      </c>
      <c r="I35" s="17">
        <f t="array" ref="I35">XLOOKUP(Q.A!$A35,MACROZONAS!B:B,MACROZONAS!A:A)</f>
        <v>2</v>
      </c>
      <c r="J35" s="17">
        <f t="array" ref="J35">XLOOKUP(Q.A!$B35,SETORES!B:B,SETORES!A:A)</f>
        <v>17</v>
      </c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4.25" customHeight="1">
      <c r="A36" s="25" t="s">
        <v>42</v>
      </c>
      <c r="B36" s="25" t="s">
        <v>12</v>
      </c>
      <c r="C36" s="16">
        <v>50.0</v>
      </c>
      <c r="D36" s="25"/>
      <c r="E36" s="25">
        <v>2.0</v>
      </c>
      <c r="F36" s="25"/>
      <c r="G36" s="17" t="s">
        <v>130</v>
      </c>
      <c r="H36" s="17">
        <v>35.0</v>
      </c>
      <c r="I36" s="17">
        <f t="array" ref="I36">XLOOKUP(Q.A!$A36,MACROZONAS!B:B,MACROZONAS!A:A)</f>
        <v>3</v>
      </c>
      <c r="J36" s="17">
        <f t="array" ref="J36">XLOOKUP(Q.A!$B36,SETORES!B:B,SETORES!A:A)</f>
        <v>1</v>
      </c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4.25" customHeight="1">
      <c r="A37" s="25" t="s">
        <v>42</v>
      </c>
      <c r="B37" s="17" t="s">
        <v>34</v>
      </c>
      <c r="C37" s="16">
        <v>50.0</v>
      </c>
      <c r="D37" s="17"/>
      <c r="E37" s="25">
        <v>2.0</v>
      </c>
      <c r="F37" s="17"/>
      <c r="G37" s="17" t="s">
        <v>130</v>
      </c>
      <c r="H37" s="17">
        <v>36.0</v>
      </c>
      <c r="I37" s="17">
        <f t="array" ref="I37">XLOOKUP(Q.A!$A37,MACROZONAS!B:B,MACROZONAS!A:A)</f>
        <v>3</v>
      </c>
      <c r="J37" s="17">
        <f t="array" ref="J37">XLOOKUP(Q.A!$B37,SETORES!B:B,SETORES!A:A)</f>
        <v>2</v>
      </c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4.25" customHeight="1">
      <c r="A38" s="25" t="s">
        <v>42</v>
      </c>
      <c r="B38" s="17" t="s">
        <v>41</v>
      </c>
      <c r="C38" s="16">
        <v>50.0</v>
      </c>
      <c r="D38" s="17"/>
      <c r="E38" s="25">
        <v>2.0</v>
      </c>
      <c r="F38" s="17"/>
      <c r="G38" s="17" t="s">
        <v>130</v>
      </c>
      <c r="H38" s="17">
        <v>37.0</v>
      </c>
      <c r="I38" s="17">
        <f t="array" ref="I38">XLOOKUP(Q.A!$A38,MACROZONAS!B:B,MACROZONAS!A:A)</f>
        <v>3</v>
      </c>
      <c r="J38" s="17">
        <f t="array" ref="J38">XLOOKUP(Q.A!$B38,SETORES!B:B,SETORES!A:A)</f>
        <v>3</v>
      </c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4.25" customHeight="1">
      <c r="A39" s="25" t="s">
        <v>42</v>
      </c>
      <c r="B39" s="17" t="s">
        <v>25</v>
      </c>
      <c r="C39" s="16">
        <v>50.0</v>
      </c>
      <c r="D39" s="17"/>
      <c r="E39" s="25">
        <v>2.0</v>
      </c>
      <c r="F39" s="17"/>
      <c r="G39" s="17" t="s">
        <v>130</v>
      </c>
      <c r="H39" s="17">
        <v>38.0</v>
      </c>
      <c r="I39" s="17">
        <f t="array" ref="I39">XLOOKUP(Q.A!$A39,MACROZONAS!B:B,MACROZONAS!A:A)</f>
        <v>3</v>
      </c>
      <c r="J39" s="17">
        <f t="array" ref="J39">XLOOKUP(Q.A!$B39,SETORES!B:B,SETORES!A:A)</f>
        <v>4</v>
      </c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4.25" customHeight="1">
      <c r="A40" s="25" t="s">
        <v>42</v>
      </c>
      <c r="B40" s="17" t="s">
        <v>17</v>
      </c>
      <c r="C40" s="16">
        <v>50.0</v>
      </c>
      <c r="D40" s="17"/>
      <c r="E40" s="25">
        <v>2.0</v>
      </c>
      <c r="F40" s="17"/>
      <c r="G40" s="17" t="s">
        <v>130</v>
      </c>
      <c r="H40" s="17">
        <v>39.0</v>
      </c>
      <c r="I40" s="17">
        <f t="array" ref="I40">XLOOKUP(Q.A!$A40,MACROZONAS!B:B,MACROZONAS!A:A)</f>
        <v>3</v>
      </c>
      <c r="J40" s="17">
        <f t="array" ref="J40">XLOOKUP(Q.A!$B40,SETORES!B:B,SETORES!A:A)</f>
        <v>5</v>
      </c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4.25" customHeight="1">
      <c r="A41" s="25" t="s">
        <v>42</v>
      </c>
      <c r="B41" s="17" t="s">
        <v>121</v>
      </c>
      <c r="C41" s="16">
        <v>50.0</v>
      </c>
      <c r="D41" s="17"/>
      <c r="E41" s="25">
        <v>2.0</v>
      </c>
      <c r="F41" s="17"/>
      <c r="G41" s="17" t="s">
        <v>130</v>
      </c>
      <c r="H41" s="17">
        <v>40.0</v>
      </c>
      <c r="I41" s="17">
        <f t="array" ref="I41">XLOOKUP(Q.A!$A41,MACROZONAS!B:B,MACROZONAS!A:A)</f>
        <v>3</v>
      </c>
      <c r="J41" s="17">
        <f t="array" ref="J41">XLOOKUP(Q.A!$B41,SETORES!B:B,SETORES!A:A)</f>
        <v>6</v>
      </c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4.25" customHeight="1">
      <c r="A42" s="25" t="s">
        <v>42</v>
      </c>
      <c r="B42" s="17" t="s">
        <v>37</v>
      </c>
      <c r="C42" s="16">
        <v>50.0</v>
      </c>
      <c r="D42" s="17"/>
      <c r="E42" s="25">
        <v>2.0</v>
      </c>
      <c r="F42" s="17"/>
      <c r="G42" s="17" t="s">
        <v>130</v>
      </c>
      <c r="H42" s="17">
        <v>41.0</v>
      </c>
      <c r="I42" s="17">
        <f t="array" ref="I42">XLOOKUP(Q.A!$A42,MACROZONAS!B:B,MACROZONAS!A:A)</f>
        <v>3</v>
      </c>
      <c r="J42" s="17">
        <f t="array" ref="J42">XLOOKUP(Q.A!$B42,SETORES!B:B,SETORES!A:A)</f>
        <v>7</v>
      </c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4.25" customHeight="1">
      <c r="A43" s="25" t="s">
        <v>42</v>
      </c>
      <c r="B43" s="17" t="s">
        <v>36</v>
      </c>
      <c r="C43" s="16">
        <v>50.0</v>
      </c>
      <c r="D43" s="17"/>
      <c r="E43" s="25">
        <v>2.0</v>
      </c>
      <c r="F43" s="17"/>
      <c r="G43" s="17" t="s">
        <v>130</v>
      </c>
      <c r="H43" s="17">
        <v>42.0</v>
      </c>
      <c r="I43" s="17">
        <f t="array" ref="I43">XLOOKUP(Q.A!$A43,MACROZONAS!B:B,MACROZONAS!A:A)</f>
        <v>3</v>
      </c>
      <c r="J43" s="17">
        <f t="array" ref="J43">XLOOKUP(Q.A!$B43,SETORES!B:B,SETORES!A:A)</f>
        <v>8</v>
      </c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4.25" customHeight="1">
      <c r="A44" s="25" t="s">
        <v>42</v>
      </c>
      <c r="B44" s="17" t="s">
        <v>15</v>
      </c>
      <c r="C44" s="16">
        <v>50.0</v>
      </c>
      <c r="D44" s="17"/>
      <c r="E44" s="25">
        <v>2.0</v>
      </c>
      <c r="F44" s="17"/>
      <c r="G44" s="17" t="s">
        <v>130</v>
      </c>
      <c r="H44" s="17">
        <v>43.0</v>
      </c>
      <c r="I44" s="17">
        <f t="array" ref="I44">XLOOKUP(Q.A!$A44,MACROZONAS!B:B,MACROZONAS!A:A)</f>
        <v>3</v>
      </c>
      <c r="J44" s="17">
        <f t="array" ref="J44">XLOOKUP(Q.A!$B44,SETORES!B:B,SETORES!A:A)</f>
        <v>9</v>
      </c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4.25" customHeight="1">
      <c r="A45" s="25" t="s">
        <v>42</v>
      </c>
      <c r="B45" s="17" t="s">
        <v>38</v>
      </c>
      <c r="C45" s="16">
        <v>50.0</v>
      </c>
      <c r="D45" s="17"/>
      <c r="E45" s="25">
        <v>2.0</v>
      </c>
      <c r="F45" s="17"/>
      <c r="G45" s="17" t="s">
        <v>130</v>
      </c>
      <c r="H45" s="17">
        <v>44.0</v>
      </c>
      <c r="I45" s="17">
        <f t="array" ref="I45">XLOOKUP(Q.A!$A45,MACROZONAS!B:B,MACROZONAS!A:A)</f>
        <v>3</v>
      </c>
      <c r="J45" s="17">
        <f t="array" ref="J45">XLOOKUP(Q.A!$B45,SETORES!B:B,SETORES!A:A)</f>
        <v>10</v>
      </c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4.25" customHeight="1">
      <c r="A46" s="25" t="s">
        <v>42</v>
      </c>
      <c r="B46" s="17" t="s">
        <v>40</v>
      </c>
      <c r="C46" s="16">
        <v>50.0</v>
      </c>
      <c r="D46" s="17"/>
      <c r="E46" s="25">
        <v>2.0</v>
      </c>
      <c r="F46" s="17"/>
      <c r="G46" s="17" t="s">
        <v>130</v>
      </c>
      <c r="H46" s="17">
        <v>45.0</v>
      </c>
      <c r="I46" s="17">
        <f t="array" ref="I46">XLOOKUP(Q.A!$A46,MACROZONAS!B:B,MACROZONAS!A:A)</f>
        <v>3</v>
      </c>
      <c r="J46" s="17">
        <f t="array" ref="J46">XLOOKUP(Q.A!$B46,SETORES!B:B,SETORES!A:A)</f>
        <v>11</v>
      </c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4.25" customHeight="1">
      <c r="A47" s="25" t="s">
        <v>42</v>
      </c>
      <c r="B47" s="17" t="s">
        <v>20</v>
      </c>
      <c r="C47" s="16">
        <v>50.0</v>
      </c>
      <c r="D47" s="17"/>
      <c r="E47" s="25">
        <v>2.0</v>
      </c>
      <c r="F47" s="17"/>
      <c r="G47" s="17" t="s">
        <v>130</v>
      </c>
      <c r="H47" s="17">
        <v>46.0</v>
      </c>
      <c r="I47" s="17">
        <f t="array" ref="I47">XLOOKUP(Q.A!$A47,MACROZONAS!B:B,MACROZONAS!A:A)</f>
        <v>3</v>
      </c>
      <c r="J47" s="17">
        <f t="array" ref="J47">XLOOKUP(Q.A!$B47,SETORES!B:B,SETORES!A:A)</f>
        <v>12</v>
      </c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4.25" customHeight="1">
      <c r="A48" s="25" t="s">
        <v>42</v>
      </c>
      <c r="B48" s="17" t="s">
        <v>27</v>
      </c>
      <c r="C48" s="16">
        <v>50.0</v>
      </c>
      <c r="D48" s="17"/>
      <c r="E48" s="25">
        <v>2.0</v>
      </c>
      <c r="F48" s="17"/>
      <c r="G48" s="17" t="s">
        <v>130</v>
      </c>
      <c r="H48" s="17">
        <v>47.0</v>
      </c>
      <c r="I48" s="17">
        <f t="array" ref="I48">XLOOKUP(Q.A!$A48,MACROZONAS!B:B,MACROZONAS!A:A)</f>
        <v>3</v>
      </c>
      <c r="J48" s="17">
        <f t="array" ref="J48">XLOOKUP(Q.A!$B48,SETORES!B:B,SETORES!A:A)</f>
        <v>13</v>
      </c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4.25" customHeight="1">
      <c r="A49" s="25" t="s">
        <v>42</v>
      </c>
      <c r="B49" s="17" t="s">
        <v>24</v>
      </c>
      <c r="C49" s="16">
        <v>50.0</v>
      </c>
      <c r="D49" s="17"/>
      <c r="E49" s="25">
        <v>2.0</v>
      </c>
      <c r="F49" s="17"/>
      <c r="G49" s="17" t="s">
        <v>130</v>
      </c>
      <c r="H49" s="17">
        <v>48.0</v>
      </c>
      <c r="I49" s="17">
        <f t="array" ref="I49">XLOOKUP(Q.A!$A49,MACROZONAS!B:B,MACROZONAS!A:A)</f>
        <v>3</v>
      </c>
      <c r="J49" s="17">
        <f t="array" ref="J49">XLOOKUP(Q.A!$B49,SETORES!B:B,SETORES!A:A)</f>
        <v>14</v>
      </c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4.25" customHeight="1">
      <c r="A50" s="25" t="s">
        <v>42</v>
      </c>
      <c r="B50" s="17" t="s">
        <v>23</v>
      </c>
      <c r="C50" s="16">
        <v>50.0</v>
      </c>
      <c r="D50" s="17"/>
      <c r="E50" s="25">
        <v>2.0</v>
      </c>
      <c r="F50" s="17"/>
      <c r="G50" s="17" t="s">
        <v>130</v>
      </c>
      <c r="H50" s="17">
        <v>49.0</v>
      </c>
      <c r="I50" s="17">
        <f t="array" ref="I50">XLOOKUP(Q.A!$A50,MACROZONAS!B:B,MACROZONAS!A:A)</f>
        <v>3</v>
      </c>
      <c r="J50" s="17">
        <f t="array" ref="J50">XLOOKUP(Q.A!$B50,SETORES!B:B,SETORES!A:A)</f>
        <v>15</v>
      </c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4.25" customHeight="1">
      <c r="A51" s="25" t="s">
        <v>42</v>
      </c>
      <c r="B51" s="17" t="s">
        <v>35</v>
      </c>
      <c r="C51" s="16">
        <v>50.0</v>
      </c>
      <c r="D51" s="17"/>
      <c r="E51" s="25">
        <v>2.0</v>
      </c>
      <c r="F51" s="17"/>
      <c r="G51" s="17" t="s">
        <v>130</v>
      </c>
      <c r="H51" s="17">
        <v>50.0</v>
      </c>
      <c r="I51" s="17">
        <f t="array" ref="I51">XLOOKUP(Q.A!$A51,MACROZONAS!B:B,MACROZONAS!A:A)</f>
        <v>3</v>
      </c>
      <c r="J51" s="17">
        <f t="array" ref="J51">XLOOKUP(Q.A!$B51,SETORES!B:B,SETORES!A:A)</f>
        <v>16</v>
      </c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4.25" customHeight="1">
      <c r="A52" s="25" t="s">
        <v>42</v>
      </c>
      <c r="B52" s="17" t="s">
        <v>26</v>
      </c>
      <c r="C52" s="16">
        <v>50.0</v>
      </c>
      <c r="D52" s="17"/>
      <c r="E52" s="25">
        <v>2.0</v>
      </c>
      <c r="F52" s="17"/>
      <c r="G52" s="17" t="s">
        <v>130</v>
      </c>
      <c r="H52" s="17">
        <v>51.0</v>
      </c>
      <c r="I52" s="17">
        <f t="array" ref="I52">XLOOKUP(Q.A!$A52,MACROZONAS!B:B,MACROZONAS!A:A)</f>
        <v>3</v>
      </c>
      <c r="J52" s="17">
        <f t="array" ref="J52">XLOOKUP(Q.A!$B52,SETORES!B:B,SETORES!A:A)</f>
        <v>17</v>
      </c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4.25" customHeight="1">
      <c r="A53" s="25" t="s">
        <v>18</v>
      </c>
      <c r="B53" s="25" t="s">
        <v>12</v>
      </c>
      <c r="C53" s="26">
        <v>60.0</v>
      </c>
      <c r="D53" s="25"/>
      <c r="E53" s="25">
        <v>2.0</v>
      </c>
      <c r="F53" s="25"/>
      <c r="G53" s="17" t="s">
        <v>130</v>
      </c>
      <c r="H53" s="17">
        <v>52.0</v>
      </c>
      <c r="I53" s="17">
        <f t="array" ref="I53">XLOOKUP(Q.A!$A53,MACROZONAS!B:B,MACROZONAS!A:A)</f>
        <v>4</v>
      </c>
      <c r="J53" s="17">
        <f t="array" ref="J53">XLOOKUP(Q.A!$B53,SETORES!B:B,SETORES!A:A)</f>
        <v>1</v>
      </c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4.25" customHeight="1">
      <c r="A54" s="25" t="s">
        <v>18</v>
      </c>
      <c r="B54" s="17" t="s">
        <v>34</v>
      </c>
      <c r="C54" s="26">
        <v>60.0</v>
      </c>
      <c r="D54" s="17"/>
      <c r="E54" s="25">
        <v>2.0</v>
      </c>
      <c r="F54" s="17"/>
      <c r="G54" s="17" t="s">
        <v>130</v>
      </c>
      <c r="H54" s="17">
        <v>53.0</v>
      </c>
      <c r="I54" s="17">
        <f t="array" ref="I54">XLOOKUP(Q.A!$A54,MACROZONAS!B:B,MACROZONAS!A:A)</f>
        <v>4</v>
      </c>
      <c r="J54" s="17">
        <f t="array" ref="J54">XLOOKUP(Q.A!$B54,SETORES!B:B,SETORES!A:A)</f>
        <v>2</v>
      </c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4.25" customHeight="1">
      <c r="A55" s="25" t="s">
        <v>18</v>
      </c>
      <c r="B55" s="17" t="s">
        <v>41</v>
      </c>
      <c r="C55" s="26">
        <v>60.0</v>
      </c>
      <c r="D55" s="17"/>
      <c r="E55" s="25">
        <v>2.0</v>
      </c>
      <c r="F55" s="17"/>
      <c r="G55" s="17" t="s">
        <v>130</v>
      </c>
      <c r="H55" s="17">
        <v>54.0</v>
      </c>
      <c r="I55" s="17">
        <f t="array" ref="I55">XLOOKUP(Q.A!$A55,MACROZONAS!B:B,MACROZONAS!A:A)</f>
        <v>4</v>
      </c>
      <c r="J55" s="17">
        <f t="array" ref="J55">XLOOKUP(Q.A!$B55,SETORES!B:B,SETORES!A:A)</f>
        <v>3</v>
      </c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4.25" customHeight="1">
      <c r="A56" s="25" t="s">
        <v>18</v>
      </c>
      <c r="B56" s="17" t="s">
        <v>25</v>
      </c>
      <c r="C56" s="26">
        <v>60.0</v>
      </c>
      <c r="D56" s="17"/>
      <c r="E56" s="25">
        <v>2.0</v>
      </c>
      <c r="F56" s="17"/>
      <c r="G56" s="17" t="s">
        <v>130</v>
      </c>
      <c r="H56" s="17">
        <v>55.0</v>
      </c>
      <c r="I56" s="17">
        <f t="array" ref="I56">XLOOKUP(Q.A!$A56,MACROZONAS!B:B,MACROZONAS!A:A)</f>
        <v>4</v>
      </c>
      <c r="J56" s="17">
        <f t="array" ref="J56">XLOOKUP(Q.A!$B56,SETORES!B:B,SETORES!A:A)</f>
        <v>4</v>
      </c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4.25" customHeight="1">
      <c r="A57" s="25" t="s">
        <v>18</v>
      </c>
      <c r="B57" s="17" t="s">
        <v>17</v>
      </c>
      <c r="C57" s="26">
        <v>60.0</v>
      </c>
      <c r="D57" s="17"/>
      <c r="E57" s="25">
        <v>2.0</v>
      </c>
      <c r="F57" s="17"/>
      <c r="G57" s="17" t="s">
        <v>130</v>
      </c>
      <c r="H57" s="17">
        <v>56.0</v>
      </c>
      <c r="I57" s="17">
        <f t="array" ref="I57">XLOOKUP(Q.A!$A57,MACROZONAS!B:B,MACROZONAS!A:A)</f>
        <v>4</v>
      </c>
      <c r="J57" s="17">
        <f t="array" ref="J57">XLOOKUP(Q.A!$B57,SETORES!B:B,SETORES!A:A)</f>
        <v>5</v>
      </c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4.25" customHeight="1">
      <c r="A58" s="25" t="s">
        <v>18</v>
      </c>
      <c r="B58" s="17" t="s">
        <v>121</v>
      </c>
      <c r="C58" s="26">
        <v>60.0</v>
      </c>
      <c r="D58" s="17"/>
      <c r="E58" s="25">
        <v>2.0</v>
      </c>
      <c r="F58" s="17"/>
      <c r="G58" s="17" t="s">
        <v>130</v>
      </c>
      <c r="H58" s="17">
        <v>57.0</v>
      </c>
      <c r="I58" s="17">
        <f t="array" ref="I58">XLOOKUP(Q.A!$A58,MACROZONAS!B:B,MACROZONAS!A:A)</f>
        <v>4</v>
      </c>
      <c r="J58" s="17">
        <f t="array" ref="J58">XLOOKUP(Q.A!$B58,SETORES!B:B,SETORES!A:A)</f>
        <v>6</v>
      </c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4.25" customHeight="1">
      <c r="A59" s="25" t="s">
        <v>18</v>
      </c>
      <c r="B59" s="17" t="s">
        <v>37</v>
      </c>
      <c r="C59" s="26">
        <v>60.0</v>
      </c>
      <c r="D59" s="17"/>
      <c r="E59" s="25">
        <v>2.0</v>
      </c>
      <c r="F59" s="17"/>
      <c r="G59" s="17" t="s">
        <v>130</v>
      </c>
      <c r="H59" s="17">
        <v>58.0</v>
      </c>
      <c r="I59" s="17">
        <f t="array" ref="I59">XLOOKUP(Q.A!$A59,MACROZONAS!B:B,MACROZONAS!A:A)</f>
        <v>4</v>
      </c>
      <c r="J59" s="17">
        <f t="array" ref="J59">XLOOKUP(Q.A!$B59,SETORES!B:B,SETORES!A:A)</f>
        <v>7</v>
      </c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4.25" customHeight="1">
      <c r="A60" s="25" t="s">
        <v>18</v>
      </c>
      <c r="B60" s="17" t="s">
        <v>36</v>
      </c>
      <c r="C60" s="26">
        <v>60.0</v>
      </c>
      <c r="D60" s="17"/>
      <c r="E60" s="25">
        <v>2.0</v>
      </c>
      <c r="F60" s="17"/>
      <c r="G60" s="17" t="s">
        <v>130</v>
      </c>
      <c r="H60" s="17">
        <v>59.0</v>
      </c>
      <c r="I60" s="17">
        <f t="array" ref="I60">XLOOKUP(Q.A!$A60,MACROZONAS!B:B,MACROZONAS!A:A)</f>
        <v>4</v>
      </c>
      <c r="J60" s="17">
        <f t="array" ref="J60">XLOOKUP(Q.A!$B60,SETORES!B:B,SETORES!A:A)</f>
        <v>8</v>
      </c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4.25" customHeight="1">
      <c r="A61" s="25" t="s">
        <v>18</v>
      </c>
      <c r="B61" s="17" t="s">
        <v>15</v>
      </c>
      <c r="C61" s="26">
        <v>60.0</v>
      </c>
      <c r="D61" s="17"/>
      <c r="E61" s="25">
        <v>2.0</v>
      </c>
      <c r="F61" s="17"/>
      <c r="G61" s="17" t="s">
        <v>130</v>
      </c>
      <c r="H61" s="17">
        <v>60.0</v>
      </c>
      <c r="I61" s="17">
        <f t="array" ref="I61">XLOOKUP(Q.A!$A61,MACROZONAS!B:B,MACROZONAS!A:A)</f>
        <v>4</v>
      </c>
      <c r="J61" s="17">
        <f t="array" ref="J61">XLOOKUP(Q.A!$B61,SETORES!B:B,SETORES!A:A)</f>
        <v>9</v>
      </c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4.25" customHeight="1">
      <c r="A62" s="25" t="s">
        <v>18</v>
      </c>
      <c r="B62" s="17" t="s">
        <v>38</v>
      </c>
      <c r="C62" s="26">
        <v>60.0</v>
      </c>
      <c r="D62" s="17"/>
      <c r="E62" s="25">
        <v>2.0</v>
      </c>
      <c r="F62" s="17"/>
      <c r="G62" s="17" t="s">
        <v>130</v>
      </c>
      <c r="H62" s="17">
        <v>61.0</v>
      </c>
      <c r="I62" s="17">
        <f t="array" ref="I62">XLOOKUP(Q.A!$A62,MACROZONAS!B:B,MACROZONAS!A:A)</f>
        <v>4</v>
      </c>
      <c r="J62" s="17">
        <f t="array" ref="J62">XLOOKUP(Q.A!$B62,SETORES!B:B,SETORES!A:A)</f>
        <v>10</v>
      </c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4.25" customHeight="1">
      <c r="A63" s="25" t="s">
        <v>18</v>
      </c>
      <c r="B63" s="17" t="s">
        <v>40</v>
      </c>
      <c r="C63" s="26">
        <v>60.0</v>
      </c>
      <c r="D63" s="17"/>
      <c r="E63" s="25">
        <v>2.0</v>
      </c>
      <c r="F63" s="17"/>
      <c r="G63" s="17" t="s">
        <v>130</v>
      </c>
      <c r="H63" s="17">
        <v>62.0</v>
      </c>
      <c r="I63" s="17">
        <f t="array" ref="I63">XLOOKUP(Q.A!$A63,MACROZONAS!B:B,MACROZONAS!A:A)</f>
        <v>4</v>
      </c>
      <c r="J63" s="17">
        <f t="array" ref="J63">XLOOKUP(Q.A!$B63,SETORES!B:B,SETORES!A:A)</f>
        <v>11</v>
      </c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4.25" customHeight="1">
      <c r="A64" s="25" t="s">
        <v>18</v>
      </c>
      <c r="B64" s="17" t="s">
        <v>20</v>
      </c>
      <c r="C64" s="26">
        <v>60.0</v>
      </c>
      <c r="D64" s="17"/>
      <c r="E64" s="25">
        <v>2.0</v>
      </c>
      <c r="F64" s="17"/>
      <c r="G64" s="17" t="s">
        <v>130</v>
      </c>
      <c r="H64" s="17">
        <v>63.0</v>
      </c>
      <c r="I64" s="17">
        <f t="array" ref="I64">XLOOKUP(Q.A!$A64,MACROZONAS!B:B,MACROZONAS!A:A)</f>
        <v>4</v>
      </c>
      <c r="J64" s="17">
        <f t="array" ref="J64">XLOOKUP(Q.A!$B64,SETORES!B:B,SETORES!A:A)</f>
        <v>12</v>
      </c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4.25" customHeight="1">
      <c r="A65" s="25" t="s">
        <v>18</v>
      </c>
      <c r="B65" s="17" t="s">
        <v>27</v>
      </c>
      <c r="C65" s="26">
        <v>60.0</v>
      </c>
      <c r="D65" s="17"/>
      <c r="E65" s="25">
        <v>2.0</v>
      </c>
      <c r="F65" s="17"/>
      <c r="G65" s="17" t="s">
        <v>130</v>
      </c>
      <c r="H65" s="17">
        <v>64.0</v>
      </c>
      <c r="I65" s="17">
        <f t="array" ref="I65">XLOOKUP(Q.A!$A65,MACROZONAS!B:B,MACROZONAS!A:A)</f>
        <v>4</v>
      </c>
      <c r="J65" s="17">
        <f t="array" ref="J65">XLOOKUP(Q.A!$B65,SETORES!B:B,SETORES!A:A)</f>
        <v>13</v>
      </c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4.25" customHeight="1">
      <c r="A66" s="25" t="s">
        <v>18</v>
      </c>
      <c r="B66" s="17" t="s">
        <v>24</v>
      </c>
      <c r="C66" s="26">
        <v>60.0</v>
      </c>
      <c r="D66" s="17"/>
      <c r="E66" s="25">
        <v>2.0</v>
      </c>
      <c r="F66" s="17"/>
      <c r="G66" s="17" t="s">
        <v>130</v>
      </c>
      <c r="H66" s="17">
        <v>65.0</v>
      </c>
      <c r="I66" s="17">
        <f t="array" ref="I66">XLOOKUP(Q.A!$A66,MACROZONAS!B:B,MACROZONAS!A:A)</f>
        <v>4</v>
      </c>
      <c r="J66" s="17">
        <f t="array" ref="J66">XLOOKUP(Q.A!$B66,SETORES!B:B,SETORES!A:A)</f>
        <v>14</v>
      </c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4.25" customHeight="1">
      <c r="A67" s="25" t="s">
        <v>18</v>
      </c>
      <c r="B67" s="17" t="s">
        <v>23</v>
      </c>
      <c r="C67" s="26">
        <v>60.0</v>
      </c>
      <c r="D67" s="17"/>
      <c r="E67" s="25">
        <v>2.0</v>
      </c>
      <c r="F67" s="17"/>
      <c r="G67" s="17" t="s">
        <v>130</v>
      </c>
      <c r="H67" s="17">
        <v>66.0</v>
      </c>
      <c r="I67" s="17">
        <f t="array" ref="I67">XLOOKUP(Q.A!$A67,MACROZONAS!B:B,MACROZONAS!A:A)</f>
        <v>4</v>
      </c>
      <c r="J67" s="17">
        <f t="array" ref="J67">XLOOKUP(Q.A!$B67,SETORES!B:B,SETORES!A:A)</f>
        <v>15</v>
      </c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4.25" customHeight="1">
      <c r="A68" s="25" t="s">
        <v>18</v>
      </c>
      <c r="B68" s="17" t="s">
        <v>35</v>
      </c>
      <c r="C68" s="26">
        <v>60.0</v>
      </c>
      <c r="D68" s="17"/>
      <c r="E68" s="25">
        <v>2.0</v>
      </c>
      <c r="F68" s="17"/>
      <c r="G68" s="17" t="s">
        <v>130</v>
      </c>
      <c r="H68" s="17">
        <v>67.0</v>
      </c>
      <c r="I68" s="17">
        <f t="array" ref="I68">XLOOKUP(Q.A!$A68,MACROZONAS!B:B,MACROZONAS!A:A)</f>
        <v>4</v>
      </c>
      <c r="J68" s="17">
        <f t="array" ref="J68">XLOOKUP(Q.A!$B68,SETORES!B:B,SETORES!A:A)</f>
        <v>16</v>
      </c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4.25" customHeight="1">
      <c r="A69" s="25" t="s">
        <v>18</v>
      </c>
      <c r="B69" s="17" t="s">
        <v>26</v>
      </c>
      <c r="C69" s="26">
        <v>60.0</v>
      </c>
      <c r="D69" s="17"/>
      <c r="E69" s="25">
        <v>2.0</v>
      </c>
      <c r="F69" s="17"/>
      <c r="G69" s="17" t="s">
        <v>130</v>
      </c>
      <c r="H69" s="17">
        <v>68.0</v>
      </c>
      <c r="I69" s="17">
        <f t="array" ref="I69">XLOOKUP(Q.A!$A69,MACROZONAS!B:B,MACROZONAS!A:A)</f>
        <v>4</v>
      </c>
      <c r="J69" s="17">
        <f t="array" ref="J69">XLOOKUP(Q.A!$B69,SETORES!B:B,SETORES!A:A)</f>
        <v>17</v>
      </c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4.2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4.2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4.2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4.2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4.2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4.2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4.2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4.2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4.2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4.2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4.2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4.2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4.2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4.2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4.2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4.2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4.2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4.2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4.2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4.2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4.2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4.2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4.2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4.2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4.2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4.2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4.2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4.2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4.2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4.2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4.2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4.2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4.2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4.2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4.2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4.2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4.2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4.2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4.2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4.2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4.2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4.2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4.2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4.2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4.2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4.2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4.2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4.2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4.2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4.2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4.2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4.2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4.2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4.2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4.2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4.2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4.2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4.2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4.2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4.2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4.2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4.2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4.2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4.2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4.2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4.2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4.2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4.2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4.2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4.2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4.2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4.2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4.2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4.2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4.2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4.2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4.2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4.2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4.2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4.2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4.2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4.2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4.2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4.2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4.2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4.2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4.2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4.2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4.2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4.2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4.2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4.2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4.2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4.2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4.2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4.2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4.2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4.2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4.2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4.2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4.2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4.2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4.2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4.2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4.2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4.2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4.2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4.2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4.2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4.2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4.2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4.2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4.2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4.2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4.2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4.2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4.2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4.2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4.2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4.2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4.2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4.2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4.2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4.2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4.2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4.2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4.2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4.2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4.2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4.2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4.2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4.2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4.2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4.2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4.2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4.2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4.2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4.2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4.2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4.2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4.2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4.2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4.2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4.2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4.2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4.2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4.2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4.2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4.2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4.2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4.2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4.2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4.2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4.2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4.2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4.2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4.2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4.2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4.2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4.2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4.2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4.2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4.2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4.2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4.2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4.2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4.2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4.2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4.2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4.2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4.2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4.2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4.2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4.2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4.2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4.2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4.2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4.2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4.2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4.2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4.2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4.2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4.2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4.2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4.2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4.2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4.2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4.2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4.2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4.2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4.2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4.2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4.2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4.2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4.2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4.2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4.2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4.2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4.2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4.2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4.2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4.2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4.2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4.2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4.2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4.2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4.2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4.2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4.2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4.2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4.2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4.2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4.2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4.2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4.2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4.2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4.2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4.2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4.2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4.2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4.2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4.2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4.2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4.2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4.2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4.2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4.2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4.2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4.2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4.2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4.2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4.2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4.2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4.2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4.2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4.2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4.2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4.2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4.2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4.2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4.2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4.2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4.2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4.2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4.2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4.2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4.2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4.2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4.2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4.2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4.2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4.2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4.2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4.2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4.2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4.2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4.2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4.2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4.2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4.2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4.2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4.2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4.2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4.2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4.2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4.2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4.2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4.2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4.2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4.2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4.2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4.2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4.2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4.2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4.2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4.2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4.2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4.2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4.2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4.2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4.2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4.2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4.2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4.2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4.2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4.2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4.2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4.2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4.2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4.2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4.2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4.2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4.2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4.2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4.2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4.2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4.2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4.2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4.2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4.2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4.2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4.2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4.2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4.2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4.2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4.2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4.2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4.2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4.2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4.2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4.2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4.2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4.2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4.2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4.2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4.2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4.2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4.2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4.2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4.2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4.2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4.2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4.2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4.2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4.2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4.2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4.2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4.2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4.2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4.2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4.2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4.2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4.2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4.2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4.2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4.2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4.2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4.2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4.2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4.2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4.2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4.2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4.2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4.2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4.2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4.2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4.2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4.2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4.2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4.2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4.2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4.2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4.2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4.2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4.2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4.2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4.2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4.2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4.2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4.2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4.2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4.2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4.2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4.2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4.2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4.2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4.2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4.2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4.2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4.2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4.2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4.2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4.2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4.2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4.2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4.2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4.2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4.2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4.2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4.2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4.2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4.2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4.2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4.2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4.2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4.2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4.2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4.2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4.2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4.2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4.2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4.2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4.2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4.2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4.2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4.2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4.2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4.2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4.2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4.2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4.2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4.2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4.2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4.2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4.2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4.2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4.2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4.2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4.2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4.2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4.2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4.2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4.2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4.2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4.2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4.2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4.2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4.2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4.2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4.2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4.2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4.2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4.2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4.2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4.2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4.2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4.2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4.2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4.2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4.2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4.2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4.2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4.2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4.2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4.2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4.2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4.2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4.2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4.2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4.2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4.2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4.2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4.2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4.2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4.2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4.2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4.2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4.2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4.2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4.2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4.2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4.2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4.2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4.2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4.2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4.2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4.2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4.2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4.2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4.2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4.2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4.2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4.2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4.2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4.2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4.2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4.2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4.2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4.2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4.2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4.2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4.2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4.2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4.2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4.2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4.2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4.2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4.2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4.2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4.2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4.2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4.2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4.2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4.2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4.2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4.2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4.2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4.2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4.2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4.2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4.2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4.2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4.2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4.2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4.2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4.2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4.2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4.2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4.2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4.2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4.2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4.2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4.2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4.2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4.2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4.2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4.2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4.2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4.2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4.2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4.2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4.2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4.2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4.2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4.2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4.2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4.2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4.2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4.2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4.2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4.2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4.2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4.2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4.2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4.2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4.2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4.2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4.2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4.2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4.2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4.2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4.2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4.2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4.2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4.2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4.2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4.2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4.2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4.2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4.2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4.2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4.2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4.2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4.2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4.2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4.2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4.2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4.2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4.2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4.2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4.2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4.2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4.2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4.2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4.2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4.2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4.2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4.2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4.2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4.2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4.2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4.2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4.2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4.2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4.2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4.2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4.2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4.2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4.2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4.2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4.2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4.2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4.2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4.2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4.2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4.2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4.2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4.2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4.2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4.2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4.2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4.2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4.2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4.2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4.2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4.2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4.2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4.2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4.2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4.2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4.2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4.2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4.2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4.2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4.2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4.2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4.2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4.2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4.2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4.2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4.2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4.2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4.2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4.2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4.2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4.2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4.2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4.2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4.2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4.2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4.2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4.2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4.2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4.2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4.2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4.2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4.2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4.2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4.2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4.2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4.2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4.2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4.2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4.2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4.2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4.2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4.2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4.2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4.2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4.2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4.2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4.2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4.2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4.2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4.2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4.2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4.2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4.2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4.2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4.2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4.2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4.2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4.2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4.2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4.2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4.2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4.2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4.2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4.2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4.2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4.2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4.2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4.2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4.2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4.2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4.2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4.2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4.2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4.2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4.2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4.2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4.2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4.2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4.2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4.2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4.2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4.2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4.2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4.2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4.2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4.2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4.2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4.2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4.2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4.2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4.2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4.2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4.2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4.2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4.2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4.2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4.2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4.2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4.2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4.2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4.2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4.2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4.2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4.2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4.2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4.2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4.2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4.2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4.2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4.2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4.2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4.2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4.2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4.2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4.2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4.2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4.2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4.2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4.2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4.2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4.2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4.2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4.2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4.2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4.2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4.2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4.2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4.2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4.2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4.2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4.2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4.2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4.2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4.2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4.2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4.2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4.2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4.2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4.2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4.2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4.2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4.2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4.2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4.2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4.2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4.2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4.2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4.2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4.2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4.2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4.2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4.2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4.2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4.2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4.2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4.2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4.2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4.2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4.2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4.2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4.2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4.2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4.2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4.2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4.2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4.2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4.2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4.2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4.2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4.2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4.2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4.2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4.2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4.2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4.2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4.2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4.2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4.2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4.2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4.2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4.2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4.2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4.2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4.2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4.2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4.2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4.2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4.2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4.2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4.2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4.2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4.2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4.2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4.2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4.2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4.2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4.2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4.2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4.2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4.2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4.2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4.2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4.2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4.2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4.2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4.2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4.2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4.2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4.2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4.2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4.2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4.2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4.2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4.2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4.2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4.2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4.2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4.2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4.2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4.2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4.2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4.2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4.2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4.2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4.2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4.2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4.2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4.2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4.2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4.2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4.2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4.2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4.2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4.2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4.2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4.2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4.2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4.2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4.2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4.2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4.2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4.2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4.2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4.2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4.2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4.2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4.2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4.2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4.2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4.2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4.2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4.2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4.2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4.2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4.2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4.2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4.2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4.2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4.2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4.2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4.2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4.2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4.2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4.2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4.2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4.2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4.2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4.2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4.2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4.2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4.2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4.2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4.2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4.2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4.2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4.2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4.2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4.2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4.2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4.2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4.2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4.2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4.2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4.2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4.2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4.2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4.2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4.2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4.2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4.2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4.2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4.2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4.2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4.2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4.2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4.2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4.2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4.2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4.2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4.2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4.2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4.2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4.2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4.2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4.2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4.2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4.2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4.2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4.2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4.2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4.2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4.2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4.2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4.2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4.2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4.2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4.2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4.2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4.2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4.2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4.2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4.2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4.2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4.2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4.2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4.2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4.2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4.2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4.2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4.2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4.2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4.2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4.2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4.2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4.2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4.2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4.2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4.2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4.2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4.2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4.2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4.2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4.2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4.2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4.2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4.2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dataValidations>
    <dataValidation type="list" allowBlank="1" showErrorMessage="1" sqref="A2:A69">
      <formula1>MACROZONAS!$B$2:$B$8</formula1>
    </dataValidation>
    <dataValidation type="list" allowBlank="1" showErrorMessage="1" sqref="B2:B69">
      <formula1>SETORES!$B$2:$B$18</formula1>
    </dataValidation>
  </dataValidations>
  <printOptions/>
  <pageMargins bottom="0.787401575" footer="0.0" header="0.0" left="0.511811024" right="0.511811024" top="0.787401575"/>
  <pageSetup orientation="landscape"/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1E4F5"/>
    <pageSetUpPr/>
  </sheetPr>
  <sheetViews>
    <sheetView workbookViewId="0"/>
  </sheetViews>
  <sheetFormatPr customHeight="1" defaultColWidth="12.63" defaultRowHeight="15.0"/>
  <cols>
    <col customWidth="1" min="1" max="1" width="23.75"/>
    <col customWidth="1" min="2" max="26" width="27.75"/>
  </cols>
  <sheetData>
    <row r="1" ht="14.25" customHeight="1">
      <c r="A1" s="24" t="s">
        <v>46</v>
      </c>
      <c r="B1" s="24" t="s">
        <v>47</v>
      </c>
      <c r="C1" s="24" t="s">
        <v>171</v>
      </c>
      <c r="D1" s="24" t="s">
        <v>158</v>
      </c>
      <c r="E1" s="24" t="s">
        <v>159</v>
      </c>
      <c r="F1" s="24" t="s">
        <v>160</v>
      </c>
      <c r="G1" s="24" t="s">
        <v>127</v>
      </c>
      <c r="H1" s="24" t="s">
        <v>172</v>
      </c>
      <c r="I1" s="24" t="s">
        <v>173</v>
      </c>
      <c r="J1" s="24" t="s">
        <v>174</v>
      </c>
    </row>
    <row r="2" ht="14.25" customHeight="1">
      <c r="A2" s="17" t="s">
        <v>33</v>
      </c>
      <c r="B2" s="17" t="s">
        <v>12</v>
      </c>
      <c r="C2" s="16">
        <v>60.0</v>
      </c>
      <c r="D2" s="17"/>
      <c r="E2" s="25">
        <v>10.0</v>
      </c>
      <c r="F2" s="17"/>
      <c r="G2" s="17" t="s">
        <v>130</v>
      </c>
      <c r="H2" s="17">
        <v>1.0</v>
      </c>
      <c r="I2" s="17">
        <f t="array" ref="I2">XLOOKUP(TO!$A2,MACROZONAS!B:B,MACROZONAS!A:A)</f>
        <v>1</v>
      </c>
      <c r="J2" s="17">
        <f t="array" ref="J2">XLOOKUP(TO!$B2,SETORES!B:B,SETORES!A:A)</f>
        <v>1</v>
      </c>
    </row>
    <row r="3" ht="14.25" customHeight="1">
      <c r="A3" s="17" t="s">
        <v>28</v>
      </c>
      <c r="B3" s="17" t="s">
        <v>12</v>
      </c>
      <c r="C3" s="16">
        <v>60.0</v>
      </c>
      <c r="D3" s="17"/>
      <c r="E3" s="25">
        <v>10.0</v>
      </c>
      <c r="F3" s="17"/>
      <c r="G3" s="17" t="s">
        <v>130</v>
      </c>
      <c r="H3" s="17">
        <v>2.0</v>
      </c>
      <c r="I3" s="17">
        <f t="array" ref="I3">XLOOKUP(TO!$A3,MACROZONAS!B:B,MACROZONAS!A:A)</f>
        <v>2</v>
      </c>
      <c r="J3" s="17">
        <f t="array" ref="J3">XLOOKUP(TO!$B3,SETORES!B:B,SETORES!A:A)</f>
        <v>1</v>
      </c>
    </row>
    <row r="4" ht="14.25" customHeight="1">
      <c r="A4" s="17" t="s">
        <v>42</v>
      </c>
      <c r="B4" s="17" t="s">
        <v>12</v>
      </c>
      <c r="C4" s="16">
        <v>60.0</v>
      </c>
      <c r="D4" s="17"/>
      <c r="E4" s="25">
        <v>10.0</v>
      </c>
      <c r="F4" s="17"/>
      <c r="G4" s="17" t="s">
        <v>130</v>
      </c>
      <c r="H4" s="17">
        <v>3.0</v>
      </c>
      <c r="I4" s="17">
        <f t="array" ref="I4">XLOOKUP(TO!$A4,MACROZONAS!B:B,MACROZONAS!A:A)</f>
        <v>3</v>
      </c>
      <c r="J4" s="17">
        <f t="array" ref="J4">XLOOKUP(TO!$B4,SETORES!B:B,SETORES!A:A)</f>
        <v>1</v>
      </c>
    </row>
    <row r="5" ht="14.25" customHeight="1">
      <c r="A5" s="17" t="s">
        <v>18</v>
      </c>
      <c r="B5" s="17" t="s">
        <v>12</v>
      </c>
      <c r="C5" s="16">
        <v>60.0</v>
      </c>
      <c r="D5" s="17"/>
      <c r="E5" s="25">
        <v>10.0</v>
      </c>
      <c r="F5" s="17"/>
      <c r="G5" s="17" t="s">
        <v>130</v>
      </c>
      <c r="H5" s="17">
        <v>4.0</v>
      </c>
      <c r="I5" s="17">
        <f t="array" ref="I5">XLOOKUP(TO!$A5,MACROZONAS!B:B,MACROZONAS!A:A)</f>
        <v>4</v>
      </c>
      <c r="J5" s="17">
        <f t="array" ref="J5">XLOOKUP(TO!$B5,SETORES!B:B,SETORES!A:A)</f>
        <v>1</v>
      </c>
    </row>
    <row r="6" ht="14.25" customHeight="1">
      <c r="A6" s="17" t="s">
        <v>39</v>
      </c>
      <c r="B6" s="17" t="s">
        <v>12</v>
      </c>
      <c r="C6" s="16">
        <v>10.0</v>
      </c>
      <c r="D6" s="17"/>
      <c r="E6" s="25">
        <v>10.0</v>
      </c>
      <c r="F6" s="17"/>
      <c r="G6" s="17" t="s">
        <v>130</v>
      </c>
      <c r="H6" s="17">
        <v>5.0</v>
      </c>
      <c r="I6" s="17">
        <f t="array" ref="I6">XLOOKUP(TO!$A6,MACROZONAS!B:B,MACROZONAS!A:A)</f>
        <v>5</v>
      </c>
      <c r="J6" s="17">
        <f t="array" ref="J6">XLOOKUP(TO!$B6,SETORES!B:B,SETORES!A:A)</f>
        <v>1</v>
      </c>
    </row>
    <row r="7" ht="14.25" customHeight="1">
      <c r="A7" s="17" t="s">
        <v>29</v>
      </c>
      <c r="B7" s="17" t="s">
        <v>12</v>
      </c>
      <c r="C7" s="16">
        <v>5.0</v>
      </c>
      <c r="D7" s="17"/>
      <c r="E7" s="25">
        <v>10.0</v>
      </c>
      <c r="F7" s="17"/>
      <c r="G7" s="17" t="s">
        <v>130</v>
      </c>
      <c r="H7" s="17">
        <v>6.0</v>
      </c>
      <c r="I7" s="17">
        <f t="array" ref="I7">XLOOKUP(TO!$A7,MACROZONAS!B:B,MACROZONAS!A:A)</f>
        <v>6</v>
      </c>
      <c r="J7" s="17">
        <f t="array" ref="J7">XLOOKUP(TO!$B7,SETORES!B:B,SETORES!A:A)</f>
        <v>1</v>
      </c>
    </row>
    <row r="8" ht="14.25" customHeight="1">
      <c r="A8" s="17" t="s">
        <v>43</v>
      </c>
      <c r="B8" s="17" t="s">
        <v>12</v>
      </c>
      <c r="C8" s="16">
        <v>10.0</v>
      </c>
      <c r="D8" s="17"/>
      <c r="E8" s="25">
        <v>10.0</v>
      </c>
      <c r="F8" s="17"/>
      <c r="G8" s="17" t="s">
        <v>130</v>
      </c>
      <c r="H8" s="17">
        <v>7.0</v>
      </c>
      <c r="I8" s="17">
        <f t="array" ref="I8">XLOOKUP(TO!$A8,MACROZONAS!B:B,MACROZONAS!A:A)</f>
        <v>7</v>
      </c>
      <c r="J8" s="17">
        <f t="array" ref="J8">XLOOKUP(TO!$B8,SETORES!B:B,SETORES!A:A)</f>
        <v>1</v>
      </c>
    </row>
    <row r="9" ht="14.25" customHeight="1">
      <c r="A9" s="17" t="s">
        <v>33</v>
      </c>
      <c r="B9" s="17" t="s">
        <v>34</v>
      </c>
      <c r="C9" s="16">
        <v>60.0</v>
      </c>
      <c r="D9" s="17"/>
      <c r="E9" s="25">
        <v>10.0</v>
      </c>
      <c r="F9" s="17"/>
      <c r="G9" s="17" t="s">
        <v>130</v>
      </c>
      <c r="H9" s="17">
        <v>8.0</v>
      </c>
      <c r="I9" s="17">
        <f t="array" ref="I9">XLOOKUP(TO!$A9,MACROZONAS!B:B,MACROZONAS!A:A)</f>
        <v>1</v>
      </c>
      <c r="J9" s="17">
        <f t="array" ref="J9">XLOOKUP(TO!$B9,SETORES!B:B,SETORES!A:A)</f>
        <v>2</v>
      </c>
    </row>
    <row r="10" ht="14.25" customHeight="1">
      <c r="A10" s="17" t="s">
        <v>28</v>
      </c>
      <c r="B10" s="17" t="s">
        <v>34</v>
      </c>
      <c r="C10" s="16">
        <v>60.0</v>
      </c>
      <c r="D10" s="17"/>
      <c r="E10" s="25">
        <v>10.0</v>
      </c>
      <c r="F10" s="17"/>
      <c r="G10" s="17" t="s">
        <v>130</v>
      </c>
      <c r="H10" s="17">
        <v>9.0</v>
      </c>
      <c r="I10" s="17">
        <f t="array" ref="I10">XLOOKUP(TO!$A10,MACROZONAS!B:B,MACROZONAS!A:A)</f>
        <v>2</v>
      </c>
      <c r="J10" s="17">
        <f t="array" ref="J10">XLOOKUP(TO!$B10,SETORES!B:B,SETORES!A:A)</f>
        <v>2</v>
      </c>
    </row>
    <row r="11" ht="14.25" customHeight="1">
      <c r="A11" s="17" t="s">
        <v>42</v>
      </c>
      <c r="B11" s="17" t="s">
        <v>34</v>
      </c>
      <c r="C11" s="16">
        <v>60.0</v>
      </c>
      <c r="D11" s="17"/>
      <c r="E11" s="25">
        <v>10.0</v>
      </c>
      <c r="F11" s="17"/>
      <c r="G11" s="17" t="s">
        <v>130</v>
      </c>
      <c r="H11" s="17">
        <v>10.0</v>
      </c>
      <c r="I11" s="17">
        <f t="array" ref="I11">XLOOKUP(TO!$A11,MACROZONAS!B:B,MACROZONAS!A:A)</f>
        <v>3</v>
      </c>
      <c r="J11" s="17">
        <f t="array" ref="J11">XLOOKUP(TO!$B11,SETORES!B:B,SETORES!A:A)</f>
        <v>2</v>
      </c>
    </row>
    <row r="12" ht="14.25" customHeight="1">
      <c r="A12" s="17" t="s">
        <v>18</v>
      </c>
      <c r="B12" s="17" t="s">
        <v>34</v>
      </c>
      <c r="C12" s="16">
        <v>60.0</v>
      </c>
      <c r="D12" s="17"/>
      <c r="E12" s="25">
        <v>10.0</v>
      </c>
      <c r="F12" s="17"/>
      <c r="G12" s="17" t="s">
        <v>130</v>
      </c>
      <c r="H12" s="17">
        <v>11.0</v>
      </c>
      <c r="I12" s="17">
        <f t="array" ref="I12">XLOOKUP(TO!$A12,MACROZONAS!B:B,MACROZONAS!A:A)</f>
        <v>4</v>
      </c>
      <c r="J12" s="17">
        <f t="array" ref="J12">XLOOKUP(TO!$B12,SETORES!B:B,SETORES!A:A)</f>
        <v>2</v>
      </c>
    </row>
    <row r="13" ht="14.25" customHeight="1">
      <c r="A13" s="17" t="s">
        <v>39</v>
      </c>
      <c r="B13" s="17" t="s">
        <v>34</v>
      </c>
      <c r="C13" s="16">
        <v>10.0</v>
      </c>
      <c r="D13" s="17"/>
      <c r="E13" s="25">
        <v>10.0</v>
      </c>
      <c r="F13" s="17"/>
      <c r="G13" s="17" t="s">
        <v>130</v>
      </c>
      <c r="H13" s="17">
        <v>12.0</v>
      </c>
      <c r="I13" s="17">
        <f t="array" ref="I13">XLOOKUP(TO!$A13,MACROZONAS!B:B,MACROZONAS!A:A)</f>
        <v>5</v>
      </c>
      <c r="J13" s="17">
        <f t="array" ref="J13">XLOOKUP(TO!$B13,SETORES!B:B,SETORES!A:A)</f>
        <v>2</v>
      </c>
    </row>
    <row r="14" ht="14.25" customHeight="1">
      <c r="A14" s="17" t="s">
        <v>29</v>
      </c>
      <c r="B14" s="17" t="s">
        <v>34</v>
      </c>
      <c r="C14" s="16">
        <v>5.0</v>
      </c>
      <c r="D14" s="17"/>
      <c r="E14" s="25">
        <v>10.0</v>
      </c>
      <c r="F14" s="17"/>
      <c r="G14" s="17" t="s">
        <v>130</v>
      </c>
      <c r="H14" s="17">
        <v>13.0</v>
      </c>
      <c r="I14" s="17">
        <f t="array" ref="I14">XLOOKUP(TO!$A14,MACROZONAS!B:B,MACROZONAS!A:A)</f>
        <v>6</v>
      </c>
      <c r="J14" s="17">
        <f t="array" ref="J14">XLOOKUP(TO!$B14,SETORES!B:B,SETORES!A:A)</f>
        <v>2</v>
      </c>
    </row>
    <row r="15" ht="14.25" customHeight="1">
      <c r="A15" s="17" t="s">
        <v>43</v>
      </c>
      <c r="B15" s="17" t="s">
        <v>34</v>
      </c>
      <c r="C15" s="16">
        <v>10.0</v>
      </c>
      <c r="D15" s="17"/>
      <c r="E15" s="25">
        <v>10.0</v>
      </c>
      <c r="F15" s="17"/>
      <c r="G15" s="17" t="s">
        <v>130</v>
      </c>
      <c r="H15" s="17">
        <v>14.0</v>
      </c>
      <c r="I15" s="17">
        <f t="array" ref="I15">XLOOKUP(TO!$A15,MACROZONAS!B:B,MACROZONAS!A:A)</f>
        <v>7</v>
      </c>
      <c r="J15" s="17">
        <f t="array" ref="J15">XLOOKUP(TO!$B15,SETORES!B:B,SETORES!A:A)</f>
        <v>2</v>
      </c>
    </row>
    <row r="16" ht="14.25" customHeight="1">
      <c r="A16" s="17" t="s">
        <v>33</v>
      </c>
      <c r="B16" s="17" t="s">
        <v>41</v>
      </c>
      <c r="C16" s="16">
        <v>60.0</v>
      </c>
      <c r="D16" s="17"/>
      <c r="E16" s="25">
        <v>10.0</v>
      </c>
      <c r="F16" s="17"/>
      <c r="G16" s="17" t="s">
        <v>130</v>
      </c>
      <c r="H16" s="17">
        <v>15.0</v>
      </c>
      <c r="I16" s="17">
        <f t="array" ref="I16">XLOOKUP(TO!$A16,MACROZONAS!B:B,MACROZONAS!A:A)</f>
        <v>1</v>
      </c>
      <c r="J16" s="17">
        <f t="array" ref="J16">XLOOKUP(TO!$B16,SETORES!B:B,SETORES!A:A)</f>
        <v>3</v>
      </c>
    </row>
    <row r="17" ht="14.25" customHeight="1">
      <c r="A17" s="17" t="s">
        <v>28</v>
      </c>
      <c r="B17" s="17" t="s">
        <v>41</v>
      </c>
      <c r="C17" s="16">
        <v>60.0</v>
      </c>
      <c r="D17" s="17"/>
      <c r="E17" s="25">
        <v>10.0</v>
      </c>
      <c r="F17" s="17"/>
      <c r="G17" s="17" t="s">
        <v>130</v>
      </c>
      <c r="H17" s="17">
        <v>16.0</v>
      </c>
      <c r="I17" s="17">
        <f t="array" ref="I17">XLOOKUP(TO!$A17,MACROZONAS!B:B,MACROZONAS!A:A)</f>
        <v>2</v>
      </c>
      <c r="J17" s="17">
        <f t="array" ref="J17">XLOOKUP(TO!$B17,SETORES!B:B,SETORES!A:A)</f>
        <v>3</v>
      </c>
    </row>
    <row r="18" ht="14.25" customHeight="1">
      <c r="A18" s="17" t="s">
        <v>42</v>
      </c>
      <c r="B18" s="17" t="s">
        <v>41</v>
      </c>
      <c r="C18" s="16">
        <v>60.0</v>
      </c>
      <c r="D18" s="17"/>
      <c r="E18" s="25">
        <v>10.0</v>
      </c>
      <c r="F18" s="17"/>
      <c r="G18" s="17" t="s">
        <v>130</v>
      </c>
      <c r="H18" s="17">
        <v>17.0</v>
      </c>
      <c r="I18" s="17">
        <f t="array" ref="I18">XLOOKUP(TO!$A18,MACROZONAS!B:B,MACROZONAS!A:A)</f>
        <v>3</v>
      </c>
      <c r="J18" s="17">
        <f t="array" ref="J18">XLOOKUP(TO!$B18,SETORES!B:B,SETORES!A:A)</f>
        <v>3</v>
      </c>
    </row>
    <row r="19" ht="14.25" customHeight="1">
      <c r="A19" s="17" t="s">
        <v>18</v>
      </c>
      <c r="B19" s="17" t="s">
        <v>41</v>
      </c>
      <c r="C19" s="16">
        <v>60.0</v>
      </c>
      <c r="D19" s="17"/>
      <c r="E19" s="25">
        <v>10.0</v>
      </c>
      <c r="F19" s="17"/>
      <c r="G19" s="17" t="s">
        <v>130</v>
      </c>
      <c r="H19" s="17">
        <v>18.0</v>
      </c>
      <c r="I19" s="17">
        <f t="array" ref="I19">XLOOKUP(TO!$A19,MACROZONAS!B:B,MACROZONAS!A:A)</f>
        <v>4</v>
      </c>
      <c r="J19" s="17">
        <f t="array" ref="J19">XLOOKUP(TO!$B19,SETORES!B:B,SETORES!A:A)</f>
        <v>3</v>
      </c>
    </row>
    <row r="20" ht="14.25" customHeight="1">
      <c r="A20" s="17" t="s">
        <v>39</v>
      </c>
      <c r="B20" s="17" t="s">
        <v>41</v>
      </c>
      <c r="C20" s="16">
        <v>10.0</v>
      </c>
      <c r="D20" s="17"/>
      <c r="E20" s="25">
        <v>10.0</v>
      </c>
      <c r="F20" s="17"/>
      <c r="G20" s="17" t="s">
        <v>130</v>
      </c>
      <c r="H20" s="17">
        <v>19.0</v>
      </c>
      <c r="I20" s="17">
        <f t="array" ref="I20">XLOOKUP(TO!$A20,MACROZONAS!B:B,MACROZONAS!A:A)</f>
        <v>5</v>
      </c>
      <c r="J20" s="17">
        <f t="array" ref="J20">XLOOKUP(TO!$B20,SETORES!B:B,SETORES!A:A)</f>
        <v>3</v>
      </c>
    </row>
    <row r="21" ht="14.25" customHeight="1">
      <c r="A21" s="17" t="s">
        <v>29</v>
      </c>
      <c r="B21" s="17" t="s">
        <v>41</v>
      </c>
      <c r="C21" s="16">
        <v>5.0</v>
      </c>
      <c r="D21" s="17"/>
      <c r="E21" s="25">
        <v>10.0</v>
      </c>
      <c r="F21" s="17"/>
      <c r="G21" s="17" t="s">
        <v>130</v>
      </c>
      <c r="H21" s="17">
        <v>20.0</v>
      </c>
      <c r="I21" s="17">
        <f t="array" ref="I21">XLOOKUP(TO!$A21,MACROZONAS!B:B,MACROZONAS!A:A)</f>
        <v>6</v>
      </c>
      <c r="J21" s="17">
        <f t="array" ref="J21">XLOOKUP(TO!$B21,SETORES!B:B,SETORES!A:A)</f>
        <v>3</v>
      </c>
    </row>
    <row r="22" ht="14.25" customHeight="1">
      <c r="A22" s="17" t="s">
        <v>43</v>
      </c>
      <c r="B22" s="17" t="s">
        <v>41</v>
      </c>
      <c r="C22" s="16">
        <v>10.0</v>
      </c>
      <c r="D22" s="17"/>
      <c r="E22" s="25">
        <v>10.0</v>
      </c>
      <c r="F22" s="17"/>
      <c r="G22" s="17" t="s">
        <v>130</v>
      </c>
      <c r="H22" s="17">
        <v>21.0</v>
      </c>
      <c r="I22" s="17">
        <f t="array" ref="I22">XLOOKUP(TO!$A22,MACROZONAS!B:B,MACROZONAS!A:A)</f>
        <v>7</v>
      </c>
      <c r="J22" s="17">
        <f t="array" ref="J22">XLOOKUP(TO!$B22,SETORES!B:B,SETORES!A:A)</f>
        <v>3</v>
      </c>
    </row>
    <row r="23" ht="14.25" customHeight="1">
      <c r="A23" s="17" t="s">
        <v>33</v>
      </c>
      <c r="B23" s="17" t="s">
        <v>25</v>
      </c>
      <c r="C23" s="16">
        <v>60.0</v>
      </c>
      <c r="D23" s="17"/>
      <c r="E23" s="25">
        <v>10.0</v>
      </c>
      <c r="F23" s="17"/>
      <c r="G23" s="17" t="s">
        <v>130</v>
      </c>
      <c r="H23" s="17">
        <v>22.0</v>
      </c>
      <c r="I23" s="17">
        <f t="array" ref="I23">XLOOKUP(TO!$A23,MACROZONAS!B:B,MACROZONAS!A:A)</f>
        <v>1</v>
      </c>
      <c r="J23" s="17">
        <f t="array" ref="J23">XLOOKUP(TO!$B23,SETORES!B:B,SETORES!A:A)</f>
        <v>4</v>
      </c>
    </row>
    <row r="24" ht="14.25" customHeight="1">
      <c r="A24" s="17" t="s">
        <v>28</v>
      </c>
      <c r="B24" s="17" t="s">
        <v>25</v>
      </c>
      <c r="C24" s="16">
        <v>60.0</v>
      </c>
      <c r="D24" s="17"/>
      <c r="E24" s="25">
        <v>10.0</v>
      </c>
      <c r="F24" s="17"/>
      <c r="G24" s="17" t="s">
        <v>130</v>
      </c>
      <c r="H24" s="17">
        <v>23.0</v>
      </c>
      <c r="I24" s="17">
        <f t="array" ref="I24">XLOOKUP(TO!$A24,MACROZONAS!B:B,MACROZONAS!A:A)</f>
        <v>2</v>
      </c>
      <c r="J24" s="17">
        <f t="array" ref="J24">XLOOKUP(TO!$B24,SETORES!B:B,SETORES!A:A)</f>
        <v>4</v>
      </c>
    </row>
    <row r="25" ht="14.25" customHeight="1">
      <c r="A25" s="17" t="s">
        <v>42</v>
      </c>
      <c r="B25" s="17" t="s">
        <v>25</v>
      </c>
      <c r="C25" s="16">
        <v>60.0</v>
      </c>
      <c r="D25" s="17"/>
      <c r="E25" s="25">
        <v>10.0</v>
      </c>
      <c r="F25" s="17"/>
      <c r="G25" s="17" t="s">
        <v>130</v>
      </c>
      <c r="H25" s="17">
        <v>24.0</v>
      </c>
      <c r="I25" s="17">
        <f t="array" ref="I25">XLOOKUP(TO!$A25,MACROZONAS!B:B,MACROZONAS!A:A)</f>
        <v>3</v>
      </c>
      <c r="J25" s="17">
        <f t="array" ref="J25">XLOOKUP(TO!$B25,SETORES!B:B,SETORES!A:A)</f>
        <v>4</v>
      </c>
    </row>
    <row r="26" ht="14.25" customHeight="1">
      <c r="A26" s="17" t="s">
        <v>18</v>
      </c>
      <c r="B26" s="17" t="s">
        <v>25</v>
      </c>
      <c r="C26" s="16">
        <v>60.0</v>
      </c>
      <c r="D26" s="17"/>
      <c r="E26" s="25">
        <v>10.0</v>
      </c>
      <c r="F26" s="17"/>
      <c r="G26" s="17" t="s">
        <v>130</v>
      </c>
      <c r="H26" s="17">
        <v>25.0</v>
      </c>
      <c r="I26" s="17">
        <f t="array" ref="I26">XLOOKUP(TO!$A26,MACROZONAS!B:B,MACROZONAS!A:A)</f>
        <v>4</v>
      </c>
      <c r="J26" s="17">
        <f t="array" ref="J26">XLOOKUP(TO!$B26,SETORES!B:B,SETORES!A:A)</f>
        <v>4</v>
      </c>
    </row>
    <row r="27" ht="14.25" customHeight="1">
      <c r="A27" s="17" t="s">
        <v>39</v>
      </c>
      <c r="B27" s="17" t="s">
        <v>25</v>
      </c>
      <c r="C27" s="16">
        <v>10.0</v>
      </c>
      <c r="D27" s="25"/>
      <c r="E27" s="25">
        <v>10.0</v>
      </c>
      <c r="F27" s="25"/>
      <c r="G27" s="17" t="s">
        <v>130</v>
      </c>
      <c r="H27" s="17">
        <v>26.0</v>
      </c>
      <c r="I27" s="17">
        <f t="array" ref="I27">XLOOKUP(TO!$A27,MACROZONAS!B:B,MACROZONAS!A:A)</f>
        <v>5</v>
      </c>
      <c r="J27" s="17">
        <f t="array" ref="J27">XLOOKUP(TO!$B27,SETORES!B:B,SETORES!A:A)</f>
        <v>4</v>
      </c>
    </row>
    <row r="28" ht="14.25" customHeight="1">
      <c r="A28" s="17" t="s">
        <v>29</v>
      </c>
      <c r="B28" s="17" t="s">
        <v>25</v>
      </c>
      <c r="C28" s="16">
        <v>5.0</v>
      </c>
      <c r="D28" s="17"/>
      <c r="E28" s="25">
        <v>10.0</v>
      </c>
      <c r="F28" s="17"/>
      <c r="G28" s="17" t="s">
        <v>130</v>
      </c>
      <c r="H28" s="17">
        <v>27.0</v>
      </c>
      <c r="I28" s="17">
        <f t="array" ref="I28">XLOOKUP(TO!$A28,MACROZONAS!B:B,MACROZONAS!A:A)</f>
        <v>6</v>
      </c>
      <c r="J28" s="17">
        <f t="array" ref="J28">XLOOKUP(TO!$B28,SETORES!B:B,SETORES!A:A)</f>
        <v>4</v>
      </c>
    </row>
    <row r="29" ht="14.25" customHeight="1">
      <c r="A29" s="17" t="s">
        <v>43</v>
      </c>
      <c r="B29" s="17" t="s">
        <v>25</v>
      </c>
      <c r="C29" s="16">
        <v>10.0</v>
      </c>
      <c r="D29" s="17"/>
      <c r="E29" s="25">
        <v>10.0</v>
      </c>
      <c r="F29" s="17"/>
      <c r="G29" s="17" t="s">
        <v>130</v>
      </c>
      <c r="H29" s="17">
        <v>28.0</v>
      </c>
      <c r="I29" s="17">
        <f t="array" ref="I29">XLOOKUP(TO!$A29,MACROZONAS!B:B,MACROZONAS!A:A)</f>
        <v>7</v>
      </c>
      <c r="J29" s="17">
        <f t="array" ref="J29">XLOOKUP(TO!$B29,SETORES!B:B,SETORES!A:A)</f>
        <v>4</v>
      </c>
    </row>
    <row r="30" ht="14.25" customHeight="1">
      <c r="A30" s="17" t="s">
        <v>33</v>
      </c>
      <c r="B30" s="17" t="s">
        <v>17</v>
      </c>
      <c r="C30" s="16">
        <v>60.0</v>
      </c>
      <c r="D30" s="17"/>
      <c r="E30" s="25">
        <v>10.0</v>
      </c>
      <c r="F30" s="17"/>
      <c r="G30" s="17" t="s">
        <v>130</v>
      </c>
      <c r="H30" s="17">
        <v>29.0</v>
      </c>
      <c r="I30" s="17">
        <f t="array" ref="I30">XLOOKUP(TO!$A30,MACROZONAS!B:B,MACROZONAS!A:A)</f>
        <v>1</v>
      </c>
      <c r="J30" s="17">
        <f t="array" ref="J30">XLOOKUP(TO!$B30,SETORES!B:B,SETORES!A:A)</f>
        <v>5</v>
      </c>
    </row>
    <row r="31" ht="14.25" customHeight="1">
      <c r="A31" s="17" t="s">
        <v>28</v>
      </c>
      <c r="B31" s="17" t="s">
        <v>17</v>
      </c>
      <c r="C31" s="16">
        <v>60.0</v>
      </c>
      <c r="D31" s="17"/>
      <c r="E31" s="25">
        <v>10.0</v>
      </c>
      <c r="F31" s="17"/>
      <c r="G31" s="17" t="s">
        <v>130</v>
      </c>
      <c r="H31" s="17">
        <v>30.0</v>
      </c>
      <c r="I31" s="17">
        <f t="array" ref="I31">XLOOKUP(TO!$A31,MACROZONAS!B:B,MACROZONAS!A:A)</f>
        <v>2</v>
      </c>
      <c r="J31" s="17">
        <f t="array" ref="J31">XLOOKUP(TO!$B31,SETORES!B:B,SETORES!A:A)</f>
        <v>5</v>
      </c>
    </row>
    <row r="32" ht="14.25" customHeight="1">
      <c r="A32" s="17" t="s">
        <v>42</v>
      </c>
      <c r="B32" s="17" t="s">
        <v>17</v>
      </c>
      <c r="C32" s="16">
        <v>60.0</v>
      </c>
      <c r="D32" s="17"/>
      <c r="E32" s="25">
        <v>10.0</v>
      </c>
      <c r="F32" s="17"/>
      <c r="G32" s="17" t="s">
        <v>130</v>
      </c>
      <c r="H32" s="17">
        <v>31.0</v>
      </c>
      <c r="I32" s="17">
        <f t="array" ref="I32">XLOOKUP(TO!$A32,MACROZONAS!B:B,MACROZONAS!A:A)</f>
        <v>3</v>
      </c>
      <c r="J32" s="17">
        <f t="array" ref="J32">XLOOKUP(TO!$B32,SETORES!B:B,SETORES!A:A)</f>
        <v>5</v>
      </c>
    </row>
    <row r="33" ht="14.25" customHeight="1">
      <c r="A33" s="17" t="s">
        <v>18</v>
      </c>
      <c r="B33" s="17" t="s">
        <v>17</v>
      </c>
      <c r="C33" s="16">
        <v>60.0</v>
      </c>
      <c r="D33" s="17"/>
      <c r="E33" s="25">
        <v>10.0</v>
      </c>
      <c r="F33" s="17"/>
      <c r="G33" s="17" t="s">
        <v>130</v>
      </c>
      <c r="H33" s="17">
        <v>32.0</v>
      </c>
      <c r="I33" s="17">
        <f t="array" ref="I33">XLOOKUP(TO!$A33,MACROZONAS!B:B,MACROZONAS!A:A)</f>
        <v>4</v>
      </c>
      <c r="J33" s="17">
        <f t="array" ref="J33">XLOOKUP(TO!$B33,SETORES!B:B,SETORES!A:A)</f>
        <v>5</v>
      </c>
    </row>
    <row r="34" ht="14.25" customHeight="1">
      <c r="A34" s="17" t="s">
        <v>39</v>
      </c>
      <c r="B34" s="17" t="s">
        <v>17</v>
      </c>
      <c r="C34" s="16">
        <v>10.0</v>
      </c>
      <c r="D34" s="17"/>
      <c r="E34" s="25">
        <v>10.0</v>
      </c>
      <c r="F34" s="17"/>
      <c r="G34" s="17" t="s">
        <v>130</v>
      </c>
      <c r="H34" s="17">
        <v>33.0</v>
      </c>
      <c r="I34" s="17">
        <f t="array" ref="I34">XLOOKUP(TO!$A34,MACROZONAS!B:B,MACROZONAS!A:A)</f>
        <v>5</v>
      </c>
      <c r="J34" s="17">
        <f t="array" ref="J34">XLOOKUP(TO!$B34,SETORES!B:B,SETORES!A:A)</f>
        <v>5</v>
      </c>
    </row>
    <row r="35" ht="14.25" customHeight="1">
      <c r="A35" s="17" t="s">
        <v>29</v>
      </c>
      <c r="B35" s="17" t="s">
        <v>17</v>
      </c>
      <c r="C35" s="16">
        <v>5.0</v>
      </c>
      <c r="D35" s="17"/>
      <c r="E35" s="25">
        <v>10.0</v>
      </c>
      <c r="F35" s="17"/>
      <c r="G35" s="17" t="s">
        <v>130</v>
      </c>
      <c r="H35" s="17">
        <v>34.0</v>
      </c>
      <c r="I35" s="17">
        <f t="array" ref="I35">XLOOKUP(TO!$A35,MACROZONAS!B:B,MACROZONAS!A:A)</f>
        <v>6</v>
      </c>
      <c r="J35" s="17">
        <f t="array" ref="J35">XLOOKUP(TO!$B35,SETORES!B:B,SETORES!A:A)</f>
        <v>5</v>
      </c>
    </row>
    <row r="36" ht="14.25" customHeight="1">
      <c r="A36" s="17" t="s">
        <v>43</v>
      </c>
      <c r="B36" s="17" t="s">
        <v>17</v>
      </c>
      <c r="C36" s="16">
        <v>10.0</v>
      </c>
      <c r="D36" s="17"/>
      <c r="E36" s="25">
        <v>10.0</v>
      </c>
      <c r="F36" s="17"/>
      <c r="G36" s="17" t="s">
        <v>130</v>
      </c>
      <c r="H36" s="17">
        <v>35.0</v>
      </c>
      <c r="I36" s="17">
        <f t="array" ref="I36">XLOOKUP(TO!$A36,MACROZONAS!B:B,MACROZONAS!A:A)</f>
        <v>7</v>
      </c>
      <c r="J36" s="17">
        <f t="array" ref="J36">XLOOKUP(TO!$B36,SETORES!B:B,SETORES!A:A)</f>
        <v>5</v>
      </c>
    </row>
    <row r="37" ht="14.25" customHeight="1">
      <c r="A37" s="17" t="s">
        <v>33</v>
      </c>
      <c r="B37" s="17" t="s">
        <v>121</v>
      </c>
      <c r="C37" s="16">
        <v>60.0</v>
      </c>
      <c r="D37" s="17"/>
      <c r="E37" s="25">
        <v>10.0</v>
      </c>
      <c r="F37" s="17"/>
      <c r="G37" s="17" t="s">
        <v>130</v>
      </c>
      <c r="H37" s="17">
        <v>36.0</v>
      </c>
      <c r="I37" s="17">
        <f t="array" ref="I37">XLOOKUP(TO!$A37,MACROZONAS!B:B,MACROZONAS!A:A)</f>
        <v>1</v>
      </c>
      <c r="J37" s="17">
        <f t="array" ref="J37">XLOOKUP(TO!$B37,SETORES!B:B,SETORES!A:A)</f>
        <v>6</v>
      </c>
    </row>
    <row r="38" ht="14.25" customHeight="1">
      <c r="A38" s="17" t="s">
        <v>28</v>
      </c>
      <c r="B38" s="17" t="s">
        <v>121</v>
      </c>
      <c r="C38" s="16">
        <v>60.0</v>
      </c>
      <c r="D38" s="17"/>
      <c r="E38" s="25">
        <v>10.0</v>
      </c>
      <c r="F38" s="17"/>
      <c r="G38" s="17" t="s">
        <v>130</v>
      </c>
      <c r="H38" s="17">
        <v>37.0</v>
      </c>
      <c r="I38" s="17">
        <f t="array" ref="I38">XLOOKUP(TO!$A38,MACROZONAS!B:B,MACROZONAS!A:A)</f>
        <v>2</v>
      </c>
      <c r="J38" s="17">
        <f t="array" ref="J38">XLOOKUP(TO!$B38,SETORES!B:B,SETORES!A:A)</f>
        <v>6</v>
      </c>
    </row>
    <row r="39" ht="14.25" customHeight="1">
      <c r="A39" s="17" t="s">
        <v>42</v>
      </c>
      <c r="B39" s="17" t="s">
        <v>121</v>
      </c>
      <c r="C39" s="16">
        <v>60.0</v>
      </c>
      <c r="D39" s="17"/>
      <c r="E39" s="25">
        <v>10.0</v>
      </c>
      <c r="F39" s="17"/>
      <c r="G39" s="17" t="s">
        <v>130</v>
      </c>
      <c r="H39" s="17">
        <v>38.0</v>
      </c>
      <c r="I39" s="17">
        <f t="array" ref="I39">XLOOKUP(TO!$A39,MACROZONAS!B:B,MACROZONAS!A:A)</f>
        <v>3</v>
      </c>
      <c r="J39" s="17">
        <f t="array" ref="J39">XLOOKUP(TO!$B39,SETORES!B:B,SETORES!A:A)</f>
        <v>6</v>
      </c>
    </row>
    <row r="40" ht="14.25" customHeight="1">
      <c r="A40" s="17" t="s">
        <v>18</v>
      </c>
      <c r="B40" s="17" t="s">
        <v>121</v>
      </c>
      <c r="C40" s="16">
        <v>60.0</v>
      </c>
      <c r="D40" s="17"/>
      <c r="E40" s="25">
        <v>10.0</v>
      </c>
      <c r="F40" s="17"/>
      <c r="G40" s="17" t="s">
        <v>130</v>
      </c>
      <c r="H40" s="17">
        <v>39.0</v>
      </c>
      <c r="I40" s="17">
        <f t="array" ref="I40">XLOOKUP(TO!$A40,MACROZONAS!B:B,MACROZONAS!A:A)</f>
        <v>4</v>
      </c>
      <c r="J40" s="17">
        <f t="array" ref="J40">XLOOKUP(TO!$B40,SETORES!B:B,SETORES!A:A)</f>
        <v>6</v>
      </c>
    </row>
    <row r="41" ht="14.25" customHeight="1">
      <c r="A41" s="17" t="s">
        <v>39</v>
      </c>
      <c r="B41" s="17" t="s">
        <v>121</v>
      </c>
      <c r="C41" s="16">
        <v>10.0</v>
      </c>
      <c r="D41" s="17"/>
      <c r="E41" s="25">
        <v>10.0</v>
      </c>
      <c r="F41" s="17"/>
      <c r="G41" s="17" t="s">
        <v>130</v>
      </c>
      <c r="H41" s="17">
        <v>40.0</v>
      </c>
      <c r="I41" s="17">
        <f t="array" ref="I41">XLOOKUP(TO!$A41,MACROZONAS!B:B,MACROZONAS!A:A)</f>
        <v>5</v>
      </c>
      <c r="J41" s="17">
        <f t="array" ref="J41">XLOOKUP(TO!$B41,SETORES!B:B,SETORES!A:A)</f>
        <v>6</v>
      </c>
    </row>
    <row r="42" ht="14.25" customHeight="1">
      <c r="A42" s="17" t="s">
        <v>29</v>
      </c>
      <c r="B42" s="17" t="s">
        <v>121</v>
      </c>
      <c r="C42" s="16">
        <v>5.0</v>
      </c>
      <c r="D42" s="17"/>
      <c r="E42" s="25">
        <v>10.0</v>
      </c>
      <c r="F42" s="17"/>
      <c r="G42" s="17" t="s">
        <v>130</v>
      </c>
      <c r="H42" s="17">
        <v>41.0</v>
      </c>
      <c r="I42" s="17">
        <f t="array" ref="I42">XLOOKUP(TO!$A42,MACROZONAS!B:B,MACROZONAS!A:A)</f>
        <v>6</v>
      </c>
      <c r="J42" s="17">
        <f t="array" ref="J42">XLOOKUP(TO!$B42,SETORES!B:B,SETORES!A:A)</f>
        <v>6</v>
      </c>
    </row>
    <row r="43" ht="14.25" customHeight="1">
      <c r="A43" s="17" t="s">
        <v>43</v>
      </c>
      <c r="B43" s="17" t="s">
        <v>121</v>
      </c>
      <c r="C43" s="16">
        <v>10.0</v>
      </c>
      <c r="D43" s="17"/>
      <c r="E43" s="25">
        <v>10.0</v>
      </c>
      <c r="F43" s="17"/>
      <c r="G43" s="17" t="s">
        <v>130</v>
      </c>
      <c r="H43" s="17">
        <v>42.0</v>
      </c>
      <c r="I43" s="17">
        <f t="array" ref="I43">XLOOKUP(TO!$A43,MACROZONAS!B:B,MACROZONAS!A:A)</f>
        <v>7</v>
      </c>
      <c r="J43" s="17">
        <f t="array" ref="J43">XLOOKUP(TO!$B43,SETORES!B:B,SETORES!A:A)</f>
        <v>6</v>
      </c>
    </row>
    <row r="44" ht="14.25" customHeight="1">
      <c r="A44" s="17" t="s">
        <v>33</v>
      </c>
      <c r="B44" s="17" t="s">
        <v>37</v>
      </c>
      <c r="C44" s="16">
        <v>60.0</v>
      </c>
      <c r="D44" s="17"/>
      <c r="E44" s="25">
        <v>10.0</v>
      </c>
      <c r="F44" s="17"/>
      <c r="G44" s="17" t="s">
        <v>130</v>
      </c>
      <c r="H44" s="17">
        <v>43.0</v>
      </c>
      <c r="I44" s="17">
        <f t="array" ref="I44">XLOOKUP(TO!$A44,MACROZONAS!B:B,MACROZONAS!A:A)</f>
        <v>1</v>
      </c>
      <c r="J44" s="17">
        <f t="array" ref="J44">XLOOKUP(TO!$B44,SETORES!B:B,SETORES!A:A)</f>
        <v>7</v>
      </c>
    </row>
    <row r="45" ht="14.25" customHeight="1">
      <c r="A45" s="17" t="s">
        <v>28</v>
      </c>
      <c r="B45" s="17" t="s">
        <v>37</v>
      </c>
      <c r="C45" s="16">
        <v>60.0</v>
      </c>
      <c r="D45" s="17"/>
      <c r="E45" s="25">
        <v>10.0</v>
      </c>
      <c r="F45" s="17"/>
      <c r="G45" s="17" t="s">
        <v>130</v>
      </c>
      <c r="H45" s="17">
        <v>44.0</v>
      </c>
      <c r="I45" s="17">
        <f t="array" ref="I45">XLOOKUP(TO!$A45,MACROZONAS!B:B,MACROZONAS!A:A)</f>
        <v>2</v>
      </c>
      <c r="J45" s="17">
        <f t="array" ref="J45">XLOOKUP(TO!$B45,SETORES!B:B,SETORES!A:A)</f>
        <v>7</v>
      </c>
    </row>
    <row r="46" ht="14.25" customHeight="1">
      <c r="A46" s="17" t="s">
        <v>42</v>
      </c>
      <c r="B46" s="17" t="s">
        <v>37</v>
      </c>
      <c r="C46" s="16">
        <v>60.0</v>
      </c>
      <c r="D46" s="17"/>
      <c r="E46" s="25">
        <v>10.0</v>
      </c>
      <c r="F46" s="17"/>
      <c r="G46" s="17" t="s">
        <v>130</v>
      </c>
      <c r="H46" s="17">
        <v>45.0</v>
      </c>
      <c r="I46" s="17">
        <f t="array" ref="I46">XLOOKUP(TO!$A46,MACROZONAS!B:B,MACROZONAS!A:A)</f>
        <v>3</v>
      </c>
      <c r="J46" s="17">
        <f t="array" ref="J46">XLOOKUP(TO!$B46,SETORES!B:B,SETORES!A:A)</f>
        <v>7</v>
      </c>
    </row>
    <row r="47" ht="14.25" customHeight="1">
      <c r="A47" s="17" t="s">
        <v>18</v>
      </c>
      <c r="B47" s="17" t="s">
        <v>37</v>
      </c>
      <c r="C47" s="16">
        <v>60.0</v>
      </c>
      <c r="D47" s="17"/>
      <c r="E47" s="25">
        <v>10.0</v>
      </c>
      <c r="F47" s="17"/>
      <c r="G47" s="17" t="s">
        <v>130</v>
      </c>
      <c r="H47" s="17">
        <v>46.0</v>
      </c>
      <c r="I47" s="17">
        <f t="array" ref="I47">XLOOKUP(TO!$A47,MACROZONAS!B:B,MACROZONAS!A:A)</f>
        <v>4</v>
      </c>
      <c r="J47" s="17">
        <f t="array" ref="J47">XLOOKUP(TO!$B47,SETORES!B:B,SETORES!A:A)</f>
        <v>7</v>
      </c>
    </row>
    <row r="48" ht="14.25" customHeight="1">
      <c r="A48" s="17" t="s">
        <v>39</v>
      </c>
      <c r="B48" s="17" t="s">
        <v>37</v>
      </c>
      <c r="C48" s="16">
        <v>10.0</v>
      </c>
      <c r="D48" s="17"/>
      <c r="E48" s="25">
        <v>10.0</v>
      </c>
      <c r="F48" s="17"/>
      <c r="G48" s="17" t="s">
        <v>130</v>
      </c>
      <c r="H48" s="17">
        <v>47.0</v>
      </c>
      <c r="I48" s="17">
        <f t="array" ref="I48">XLOOKUP(TO!$A48,MACROZONAS!B:B,MACROZONAS!A:A)</f>
        <v>5</v>
      </c>
      <c r="J48" s="17">
        <f t="array" ref="J48">XLOOKUP(TO!$B48,SETORES!B:B,SETORES!A:A)</f>
        <v>7</v>
      </c>
    </row>
    <row r="49" ht="14.25" customHeight="1">
      <c r="A49" s="17" t="s">
        <v>29</v>
      </c>
      <c r="B49" s="17" t="s">
        <v>37</v>
      </c>
      <c r="C49" s="16">
        <v>5.0</v>
      </c>
      <c r="D49" s="17"/>
      <c r="E49" s="25">
        <v>10.0</v>
      </c>
      <c r="F49" s="17"/>
      <c r="G49" s="17" t="s">
        <v>130</v>
      </c>
      <c r="H49" s="17">
        <v>48.0</v>
      </c>
      <c r="I49" s="17">
        <f t="array" ref="I49">XLOOKUP(TO!$A49,MACROZONAS!B:B,MACROZONAS!A:A)</f>
        <v>6</v>
      </c>
      <c r="J49" s="17">
        <f t="array" ref="J49">XLOOKUP(TO!$B49,SETORES!B:B,SETORES!A:A)</f>
        <v>7</v>
      </c>
    </row>
    <row r="50" ht="14.25" customHeight="1">
      <c r="A50" s="17" t="s">
        <v>43</v>
      </c>
      <c r="B50" s="17" t="s">
        <v>37</v>
      </c>
      <c r="C50" s="16">
        <v>10.0</v>
      </c>
      <c r="D50" s="17"/>
      <c r="E50" s="25">
        <v>10.0</v>
      </c>
      <c r="F50" s="17"/>
      <c r="G50" s="17" t="s">
        <v>130</v>
      </c>
      <c r="H50" s="17">
        <v>49.0</v>
      </c>
      <c r="I50" s="17">
        <f t="array" ref="I50">XLOOKUP(TO!$A50,MACROZONAS!B:B,MACROZONAS!A:A)</f>
        <v>7</v>
      </c>
      <c r="J50" s="17">
        <f t="array" ref="J50">XLOOKUP(TO!$B50,SETORES!B:B,SETORES!A:A)</f>
        <v>7</v>
      </c>
    </row>
    <row r="51" ht="14.25" customHeight="1">
      <c r="A51" s="17" t="s">
        <v>33</v>
      </c>
      <c r="B51" s="17" t="s">
        <v>36</v>
      </c>
      <c r="C51" s="16">
        <v>60.0</v>
      </c>
      <c r="D51" s="17"/>
      <c r="E51" s="25">
        <v>10.0</v>
      </c>
      <c r="F51" s="17"/>
      <c r="G51" s="17" t="s">
        <v>130</v>
      </c>
      <c r="H51" s="17">
        <v>50.0</v>
      </c>
      <c r="I51" s="17">
        <f t="array" ref="I51">XLOOKUP(TO!$A51,MACROZONAS!B:B,MACROZONAS!A:A)</f>
        <v>1</v>
      </c>
      <c r="J51" s="17">
        <f t="array" ref="J51">XLOOKUP(TO!$B51,SETORES!B:B,SETORES!A:A)</f>
        <v>8</v>
      </c>
    </row>
    <row r="52" ht="14.25" customHeight="1">
      <c r="A52" s="17" t="s">
        <v>28</v>
      </c>
      <c r="B52" s="17" t="s">
        <v>36</v>
      </c>
      <c r="C52" s="16">
        <v>60.0</v>
      </c>
      <c r="D52" s="17"/>
      <c r="E52" s="25">
        <v>10.0</v>
      </c>
      <c r="F52" s="17"/>
      <c r="G52" s="17" t="s">
        <v>130</v>
      </c>
      <c r="H52" s="17">
        <v>51.0</v>
      </c>
      <c r="I52" s="17">
        <f t="array" ref="I52">XLOOKUP(TO!$A52,MACROZONAS!B:B,MACROZONAS!A:A)</f>
        <v>2</v>
      </c>
      <c r="J52" s="17">
        <f t="array" ref="J52">XLOOKUP(TO!$B52,SETORES!B:B,SETORES!A:A)</f>
        <v>8</v>
      </c>
    </row>
    <row r="53" ht="14.25" customHeight="1">
      <c r="A53" s="17" t="s">
        <v>42</v>
      </c>
      <c r="B53" s="17" t="s">
        <v>36</v>
      </c>
      <c r="C53" s="16">
        <v>60.0</v>
      </c>
      <c r="D53" s="17"/>
      <c r="E53" s="25">
        <v>10.0</v>
      </c>
      <c r="F53" s="17"/>
      <c r="G53" s="17" t="s">
        <v>130</v>
      </c>
      <c r="H53" s="17">
        <v>52.0</v>
      </c>
      <c r="I53" s="17">
        <f t="array" ref="I53">XLOOKUP(TO!$A53,MACROZONAS!B:B,MACROZONAS!A:A)</f>
        <v>3</v>
      </c>
      <c r="J53" s="17">
        <f t="array" ref="J53">XLOOKUP(TO!$B53,SETORES!B:B,SETORES!A:A)</f>
        <v>8</v>
      </c>
    </row>
    <row r="54" ht="14.25" customHeight="1">
      <c r="A54" s="17" t="s">
        <v>18</v>
      </c>
      <c r="B54" s="17" t="s">
        <v>36</v>
      </c>
      <c r="C54" s="16">
        <v>60.0</v>
      </c>
      <c r="D54" s="17"/>
      <c r="E54" s="25">
        <v>10.0</v>
      </c>
      <c r="F54" s="17"/>
      <c r="G54" s="17" t="s">
        <v>130</v>
      </c>
      <c r="H54" s="17">
        <v>53.0</v>
      </c>
      <c r="I54" s="17">
        <f t="array" ref="I54">XLOOKUP(TO!$A54,MACROZONAS!B:B,MACROZONAS!A:A)</f>
        <v>4</v>
      </c>
      <c r="J54" s="17">
        <f t="array" ref="J54">XLOOKUP(TO!$B54,SETORES!B:B,SETORES!A:A)</f>
        <v>8</v>
      </c>
    </row>
    <row r="55" ht="14.25" customHeight="1">
      <c r="A55" s="17" t="s">
        <v>39</v>
      </c>
      <c r="B55" s="17" t="s">
        <v>36</v>
      </c>
      <c r="C55" s="16">
        <v>10.0</v>
      </c>
      <c r="D55" s="17"/>
      <c r="E55" s="25">
        <v>10.0</v>
      </c>
      <c r="F55" s="17"/>
      <c r="G55" s="17" t="s">
        <v>130</v>
      </c>
      <c r="H55" s="17">
        <v>54.0</v>
      </c>
      <c r="I55" s="17">
        <f t="array" ref="I55">XLOOKUP(TO!$A55,MACROZONAS!B:B,MACROZONAS!A:A)</f>
        <v>5</v>
      </c>
      <c r="J55" s="17">
        <f t="array" ref="J55">XLOOKUP(TO!$B55,SETORES!B:B,SETORES!A:A)</f>
        <v>8</v>
      </c>
    </row>
    <row r="56" ht="14.25" customHeight="1">
      <c r="A56" s="17" t="s">
        <v>29</v>
      </c>
      <c r="B56" s="17" t="s">
        <v>36</v>
      </c>
      <c r="C56" s="16">
        <v>5.0</v>
      </c>
      <c r="D56" s="17"/>
      <c r="E56" s="25">
        <v>10.0</v>
      </c>
      <c r="F56" s="17"/>
      <c r="G56" s="17" t="s">
        <v>130</v>
      </c>
      <c r="H56" s="17">
        <v>55.0</v>
      </c>
      <c r="I56" s="17">
        <f t="array" ref="I56">XLOOKUP(TO!$A56,MACROZONAS!B:B,MACROZONAS!A:A)</f>
        <v>6</v>
      </c>
      <c r="J56" s="17">
        <f t="array" ref="J56">XLOOKUP(TO!$B56,SETORES!B:B,SETORES!A:A)</f>
        <v>8</v>
      </c>
    </row>
    <row r="57" ht="14.25" customHeight="1">
      <c r="A57" s="17" t="s">
        <v>43</v>
      </c>
      <c r="B57" s="17" t="s">
        <v>36</v>
      </c>
      <c r="C57" s="16">
        <v>10.0</v>
      </c>
      <c r="D57" s="17"/>
      <c r="E57" s="25">
        <v>10.0</v>
      </c>
      <c r="F57" s="17"/>
      <c r="G57" s="17" t="s">
        <v>130</v>
      </c>
      <c r="H57" s="17">
        <v>56.0</v>
      </c>
      <c r="I57" s="17">
        <f t="array" ref="I57">XLOOKUP(TO!$A57,MACROZONAS!B:B,MACROZONAS!A:A)</f>
        <v>7</v>
      </c>
      <c r="J57" s="17">
        <f t="array" ref="J57">XLOOKUP(TO!$B57,SETORES!B:B,SETORES!A:A)</f>
        <v>8</v>
      </c>
    </row>
    <row r="58" ht="14.25" customHeight="1">
      <c r="A58" s="17" t="s">
        <v>33</v>
      </c>
      <c r="B58" s="17" t="s">
        <v>15</v>
      </c>
      <c r="C58" s="16">
        <v>60.0</v>
      </c>
      <c r="D58" s="17"/>
      <c r="E58" s="25">
        <v>10.0</v>
      </c>
      <c r="F58" s="17"/>
      <c r="G58" s="17" t="s">
        <v>130</v>
      </c>
      <c r="H58" s="17">
        <v>57.0</v>
      </c>
      <c r="I58" s="17">
        <f t="array" ref="I58">XLOOKUP(TO!$A58,MACROZONAS!B:B,MACROZONAS!A:A)</f>
        <v>1</v>
      </c>
      <c r="J58" s="17">
        <f t="array" ref="J58">XLOOKUP(TO!$B58,SETORES!B:B,SETORES!A:A)</f>
        <v>9</v>
      </c>
    </row>
    <row r="59" ht="14.25" customHeight="1">
      <c r="A59" s="17" t="s">
        <v>28</v>
      </c>
      <c r="B59" s="17" t="s">
        <v>15</v>
      </c>
      <c r="C59" s="16">
        <v>60.0</v>
      </c>
      <c r="D59" s="17"/>
      <c r="E59" s="25">
        <v>10.0</v>
      </c>
      <c r="F59" s="17"/>
      <c r="G59" s="17" t="s">
        <v>130</v>
      </c>
      <c r="H59" s="17">
        <v>58.0</v>
      </c>
      <c r="I59" s="17">
        <f t="array" ref="I59">XLOOKUP(TO!$A59,MACROZONAS!B:B,MACROZONAS!A:A)</f>
        <v>2</v>
      </c>
      <c r="J59" s="17">
        <f t="array" ref="J59">XLOOKUP(TO!$B59,SETORES!B:B,SETORES!A:A)</f>
        <v>9</v>
      </c>
    </row>
    <row r="60" ht="14.25" customHeight="1">
      <c r="A60" s="17" t="s">
        <v>42</v>
      </c>
      <c r="B60" s="17" t="s">
        <v>15</v>
      </c>
      <c r="C60" s="16">
        <v>60.0</v>
      </c>
      <c r="D60" s="17"/>
      <c r="E60" s="25">
        <v>10.0</v>
      </c>
      <c r="F60" s="17"/>
      <c r="G60" s="17" t="s">
        <v>130</v>
      </c>
      <c r="H60" s="17">
        <v>59.0</v>
      </c>
      <c r="I60" s="17">
        <f t="array" ref="I60">XLOOKUP(TO!$A60,MACROZONAS!B:B,MACROZONAS!A:A)</f>
        <v>3</v>
      </c>
      <c r="J60" s="17">
        <f t="array" ref="J60">XLOOKUP(TO!$B60,SETORES!B:B,SETORES!A:A)</f>
        <v>9</v>
      </c>
    </row>
    <row r="61" ht="14.25" customHeight="1">
      <c r="A61" s="17" t="s">
        <v>18</v>
      </c>
      <c r="B61" s="17" t="s">
        <v>15</v>
      </c>
      <c r="C61" s="16">
        <v>60.0</v>
      </c>
      <c r="D61" s="17"/>
      <c r="E61" s="25">
        <v>10.0</v>
      </c>
      <c r="F61" s="17"/>
      <c r="G61" s="17" t="s">
        <v>130</v>
      </c>
      <c r="H61" s="17">
        <v>60.0</v>
      </c>
      <c r="I61" s="17">
        <f t="array" ref="I61">XLOOKUP(TO!$A61,MACROZONAS!B:B,MACROZONAS!A:A)</f>
        <v>4</v>
      </c>
      <c r="J61" s="17">
        <f t="array" ref="J61">XLOOKUP(TO!$B61,SETORES!B:B,SETORES!A:A)</f>
        <v>9</v>
      </c>
    </row>
    <row r="62" ht="14.25" customHeight="1">
      <c r="A62" s="17" t="s">
        <v>39</v>
      </c>
      <c r="B62" s="17" t="s">
        <v>15</v>
      </c>
      <c r="C62" s="16">
        <v>10.0</v>
      </c>
      <c r="D62" s="17"/>
      <c r="E62" s="25">
        <v>10.0</v>
      </c>
      <c r="F62" s="17"/>
      <c r="G62" s="17" t="s">
        <v>130</v>
      </c>
      <c r="H62" s="17">
        <v>61.0</v>
      </c>
      <c r="I62" s="17">
        <f t="array" ref="I62">XLOOKUP(TO!$A62,MACROZONAS!B:B,MACROZONAS!A:A)</f>
        <v>5</v>
      </c>
      <c r="J62" s="17">
        <f t="array" ref="J62">XLOOKUP(TO!$B62,SETORES!B:B,SETORES!A:A)</f>
        <v>9</v>
      </c>
    </row>
    <row r="63" ht="14.25" customHeight="1">
      <c r="A63" s="17" t="s">
        <v>29</v>
      </c>
      <c r="B63" s="17" t="s">
        <v>15</v>
      </c>
      <c r="C63" s="16">
        <v>5.0</v>
      </c>
      <c r="D63" s="17"/>
      <c r="E63" s="25">
        <v>10.0</v>
      </c>
      <c r="F63" s="17"/>
      <c r="G63" s="17" t="s">
        <v>130</v>
      </c>
      <c r="H63" s="17">
        <v>62.0</v>
      </c>
      <c r="I63" s="17">
        <f t="array" ref="I63">XLOOKUP(TO!$A63,MACROZONAS!B:B,MACROZONAS!A:A)</f>
        <v>6</v>
      </c>
      <c r="J63" s="17">
        <f t="array" ref="J63">XLOOKUP(TO!$B63,SETORES!B:B,SETORES!A:A)</f>
        <v>9</v>
      </c>
    </row>
    <row r="64" ht="14.25" customHeight="1">
      <c r="A64" s="17" t="s">
        <v>43</v>
      </c>
      <c r="B64" s="17" t="s">
        <v>15</v>
      </c>
      <c r="C64" s="16">
        <v>10.0</v>
      </c>
      <c r="D64" s="17"/>
      <c r="E64" s="25">
        <v>10.0</v>
      </c>
      <c r="F64" s="17"/>
      <c r="G64" s="17" t="s">
        <v>130</v>
      </c>
      <c r="H64" s="17">
        <v>63.0</v>
      </c>
      <c r="I64" s="17">
        <f t="array" ref="I64">XLOOKUP(TO!$A64,MACROZONAS!B:B,MACROZONAS!A:A)</f>
        <v>7</v>
      </c>
      <c r="J64" s="17">
        <f t="array" ref="J64">XLOOKUP(TO!$B64,SETORES!B:B,SETORES!A:A)</f>
        <v>9</v>
      </c>
    </row>
    <row r="65" ht="14.25" customHeight="1">
      <c r="A65" s="17" t="s">
        <v>33</v>
      </c>
      <c r="B65" s="17" t="s">
        <v>38</v>
      </c>
      <c r="C65" s="16">
        <v>60.0</v>
      </c>
      <c r="D65" s="17"/>
      <c r="E65" s="25">
        <v>10.0</v>
      </c>
      <c r="F65" s="17"/>
      <c r="G65" s="17" t="s">
        <v>130</v>
      </c>
      <c r="H65" s="17">
        <v>64.0</v>
      </c>
      <c r="I65" s="17">
        <f t="array" ref="I65">XLOOKUP(TO!$A65,MACROZONAS!B:B,MACROZONAS!A:A)</f>
        <v>1</v>
      </c>
      <c r="J65" s="17">
        <f t="array" ref="J65">XLOOKUP(TO!$B65,SETORES!B:B,SETORES!A:A)</f>
        <v>10</v>
      </c>
    </row>
    <row r="66" ht="14.25" customHeight="1">
      <c r="A66" s="17" t="s">
        <v>28</v>
      </c>
      <c r="B66" s="17" t="s">
        <v>38</v>
      </c>
      <c r="C66" s="16">
        <v>60.0</v>
      </c>
      <c r="D66" s="17"/>
      <c r="E66" s="25">
        <v>10.0</v>
      </c>
      <c r="F66" s="17"/>
      <c r="G66" s="17" t="s">
        <v>130</v>
      </c>
      <c r="H66" s="17">
        <v>65.0</v>
      </c>
      <c r="I66" s="17">
        <f t="array" ref="I66">XLOOKUP(TO!$A66,MACROZONAS!B:B,MACROZONAS!A:A)</f>
        <v>2</v>
      </c>
      <c r="J66" s="17">
        <f t="array" ref="J66">XLOOKUP(TO!$B66,SETORES!B:B,SETORES!A:A)</f>
        <v>10</v>
      </c>
    </row>
    <row r="67" ht="14.25" customHeight="1">
      <c r="A67" s="17" t="s">
        <v>42</v>
      </c>
      <c r="B67" s="17" t="s">
        <v>38</v>
      </c>
      <c r="C67" s="16">
        <v>60.0</v>
      </c>
      <c r="D67" s="17"/>
      <c r="E67" s="25">
        <v>10.0</v>
      </c>
      <c r="F67" s="17"/>
      <c r="G67" s="17" t="s">
        <v>130</v>
      </c>
      <c r="H67" s="17">
        <v>66.0</v>
      </c>
      <c r="I67" s="17">
        <f t="array" ref="I67">XLOOKUP(TO!$A67,MACROZONAS!B:B,MACROZONAS!A:A)</f>
        <v>3</v>
      </c>
      <c r="J67" s="17">
        <f t="array" ref="J67">XLOOKUP(TO!$B67,SETORES!B:B,SETORES!A:A)</f>
        <v>10</v>
      </c>
    </row>
    <row r="68" ht="14.25" customHeight="1">
      <c r="A68" s="17" t="s">
        <v>18</v>
      </c>
      <c r="B68" s="17" t="s">
        <v>38</v>
      </c>
      <c r="C68" s="16">
        <v>60.0</v>
      </c>
      <c r="D68" s="17"/>
      <c r="E68" s="25">
        <v>10.0</v>
      </c>
      <c r="F68" s="17"/>
      <c r="G68" s="17" t="s">
        <v>130</v>
      </c>
      <c r="H68" s="17">
        <v>67.0</v>
      </c>
      <c r="I68" s="17">
        <f t="array" ref="I68">XLOOKUP(TO!$A68,MACROZONAS!B:B,MACROZONAS!A:A)</f>
        <v>4</v>
      </c>
      <c r="J68" s="17">
        <f t="array" ref="J68">XLOOKUP(TO!$B68,SETORES!B:B,SETORES!A:A)</f>
        <v>10</v>
      </c>
    </row>
    <row r="69" ht="14.25" customHeight="1">
      <c r="A69" s="17" t="s">
        <v>39</v>
      </c>
      <c r="B69" s="17" t="s">
        <v>38</v>
      </c>
      <c r="C69" s="16">
        <v>10.0</v>
      </c>
      <c r="D69" s="17"/>
      <c r="E69" s="25">
        <v>10.0</v>
      </c>
      <c r="F69" s="17"/>
      <c r="G69" s="17" t="s">
        <v>130</v>
      </c>
      <c r="H69" s="17">
        <v>68.0</v>
      </c>
      <c r="I69" s="17">
        <f t="array" ref="I69">XLOOKUP(TO!$A69,MACROZONAS!B:B,MACROZONAS!A:A)</f>
        <v>5</v>
      </c>
      <c r="J69" s="17">
        <f t="array" ref="J69">XLOOKUP(TO!$B69,SETORES!B:B,SETORES!A:A)</f>
        <v>10</v>
      </c>
    </row>
    <row r="70" ht="14.25" customHeight="1">
      <c r="A70" s="17" t="s">
        <v>29</v>
      </c>
      <c r="B70" s="17" t="s">
        <v>38</v>
      </c>
      <c r="C70" s="16">
        <v>5.0</v>
      </c>
      <c r="D70" s="17"/>
      <c r="E70" s="25">
        <v>10.0</v>
      </c>
      <c r="F70" s="17"/>
      <c r="G70" s="17" t="s">
        <v>130</v>
      </c>
      <c r="H70" s="17">
        <v>69.0</v>
      </c>
      <c r="I70" s="17">
        <f t="array" ref="I70">XLOOKUP(TO!$A70,MACROZONAS!B:B,MACROZONAS!A:A)</f>
        <v>6</v>
      </c>
      <c r="J70" s="17">
        <f t="array" ref="J70">XLOOKUP(TO!$B70,SETORES!B:B,SETORES!A:A)</f>
        <v>10</v>
      </c>
    </row>
    <row r="71" ht="14.25" customHeight="1">
      <c r="A71" s="17" t="s">
        <v>43</v>
      </c>
      <c r="B71" s="17" t="s">
        <v>38</v>
      </c>
      <c r="C71" s="16">
        <v>10.0</v>
      </c>
      <c r="D71" s="17"/>
      <c r="E71" s="25">
        <v>10.0</v>
      </c>
      <c r="F71" s="17"/>
      <c r="G71" s="17" t="s">
        <v>130</v>
      </c>
      <c r="H71" s="17">
        <v>70.0</v>
      </c>
      <c r="I71" s="17">
        <f t="array" ref="I71">XLOOKUP(TO!$A71,MACROZONAS!B:B,MACROZONAS!A:A)</f>
        <v>7</v>
      </c>
      <c r="J71" s="17">
        <f t="array" ref="J71">XLOOKUP(TO!$B71,SETORES!B:B,SETORES!A:A)</f>
        <v>10</v>
      </c>
    </row>
    <row r="72" ht="14.25" customHeight="1">
      <c r="A72" s="17" t="s">
        <v>33</v>
      </c>
      <c r="B72" s="17" t="s">
        <v>40</v>
      </c>
      <c r="C72" s="16">
        <v>60.0</v>
      </c>
      <c r="D72" s="17"/>
      <c r="E72" s="25">
        <v>10.0</v>
      </c>
      <c r="F72" s="17"/>
      <c r="G72" s="17" t="s">
        <v>130</v>
      </c>
      <c r="H72" s="17">
        <v>71.0</v>
      </c>
      <c r="I72" s="17">
        <f t="array" ref="I72">XLOOKUP(TO!$A72,MACROZONAS!B:B,MACROZONAS!A:A)</f>
        <v>1</v>
      </c>
      <c r="J72" s="17">
        <f t="array" ref="J72">XLOOKUP(TO!$B72,SETORES!B:B,SETORES!A:A)</f>
        <v>11</v>
      </c>
    </row>
    <row r="73" ht="14.25" customHeight="1">
      <c r="A73" s="17" t="s">
        <v>28</v>
      </c>
      <c r="B73" s="17" t="s">
        <v>40</v>
      </c>
      <c r="C73" s="16">
        <v>60.0</v>
      </c>
      <c r="D73" s="17"/>
      <c r="E73" s="25">
        <v>10.0</v>
      </c>
      <c r="F73" s="17"/>
      <c r="G73" s="17" t="s">
        <v>130</v>
      </c>
      <c r="H73" s="17">
        <v>72.0</v>
      </c>
      <c r="I73" s="17">
        <f t="array" ref="I73">XLOOKUP(TO!$A73,MACROZONAS!B:B,MACROZONAS!A:A)</f>
        <v>2</v>
      </c>
      <c r="J73" s="17">
        <f t="array" ref="J73">XLOOKUP(TO!$B73,SETORES!B:B,SETORES!A:A)</f>
        <v>11</v>
      </c>
    </row>
    <row r="74" ht="14.25" customHeight="1">
      <c r="A74" s="17" t="s">
        <v>42</v>
      </c>
      <c r="B74" s="17" t="s">
        <v>40</v>
      </c>
      <c r="C74" s="16">
        <v>60.0</v>
      </c>
      <c r="D74" s="17"/>
      <c r="E74" s="25">
        <v>10.0</v>
      </c>
      <c r="F74" s="17"/>
      <c r="G74" s="17" t="s">
        <v>130</v>
      </c>
      <c r="H74" s="17">
        <v>73.0</v>
      </c>
      <c r="I74" s="17">
        <f t="array" ref="I74">XLOOKUP(TO!$A74,MACROZONAS!B:B,MACROZONAS!A:A)</f>
        <v>3</v>
      </c>
      <c r="J74" s="17">
        <f t="array" ref="J74">XLOOKUP(TO!$B74,SETORES!B:B,SETORES!A:A)</f>
        <v>11</v>
      </c>
    </row>
    <row r="75" ht="14.25" customHeight="1">
      <c r="A75" s="17" t="s">
        <v>18</v>
      </c>
      <c r="B75" s="17" t="s">
        <v>40</v>
      </c>
      <c r="C75" s="16">
        <v>60.0</v>
      </c>
      <c r="D75" s="17"/>
      <c r="E75" s="25">
        <v>10.0</v>
      </c>
      <c r="F75" s="17"/>
      <c r="G75" s="17" t="s">
        <v>130</v>
      </c>
      <c r="H75" s="17">
        <v>74.0</v>
      </c>
      <c r="I75" s="17">
        <f t="array" ref="I75">XLOOKUP(TO!$A75,MACROZONAS!B:B,MACROZONAS!A:A)</f>
        <v>4</v>
      </c>
      <c r="J75" s="17">
        <f t="array" ref="J75">XLOOKUP(TO!$B75,SETORES!B:B,SETORES!A:A)</f>
        <v>11</v>
      </c>
    </row>
    <row r="76" ht="14.25" customHeight="1">
      <c r="A76" s="17" t="s">
        <v>39</v>
      </c>
      <c r="B76" s="17" t="s">
        <v>40</v>
      </c>
      <c r="C76" s="16">
        <v>10.0</v>
      </c>
      <c r="D76" s="17"/>
      <c r="E76" s="25">
        <v>10.0</v>
      </c>
      <c r="F76" s="17"/>
      <c r="G76" s="17" t="s">
        <v>130</v>
      </c>
      <c r="H76" s="17">
        <v>75.0</v>
      </c>
      <c r="I76" s="17">
        <f t="array" ref="I76">XLOOKUP(TO!$A76,MACROZONAS!B:B,MACROZONAS!A:A)</f>
        <v>5</v>
      </c>
      <c r="J76" s="17">
        <f t="array" ref="J76">XLOOKUP(TO!$B76,SETORES!B:B,SETORES!A:A)</f>
        <v>11</v>
      </c>
    </row>
    <row r="77" ht="14.25" customHeight="1">
      <c r="A77" s="17" t="s">
        <v>29</v>
      </c>
      <c r="B77" s="17" t="s">
        <v>40</v>
      </c>
      <c r="C77" s="16">
        <v>5.0</v>
      </c>
      <c r="D77" s="17"/>
      <c r="E77" s="25">
        <v>10.0</v>
      </c>
      <c r="F77" s="17"/>
      <c r="G77" s="17" t="s">
        <v>130</v>
      </c>
      <c r="H77" s="17">
        <v>76.0</v>
      </c>
      <c r="I77" s="17">
        <f t="array" ref="I77">XLOOKUP(TO!$A77,MACROZONAS!B:B,MACROZONAS!A:A)</f>
        <v>6</v>
      </c>
      <c r="J77" s="17">
        <f t="array" ref="J77">XLOOKUP(TO!$B77,SETORES!B:B,SETORES!A:A)</f>
        <v>11</v>
      </c>
    </row>
    <row r="78" ht="14.25" customHeight="1">
      <c r="A78" s="17" t="s">
        <v>43</v>
      </c>
      <c r="B78" s="17" t="s">
        <v>40</v>
      </c>
      <c r="C78" s="16">
        <v>10.0</v>
      </c>
      <c r="D78" s="17"/>
      <c r="E78" s="25">
        <v>10.0</v>
      </c>
      <c r="F78" s="17"/>
      <c r="G78" s="17" t="s">
        <v>130</v>
      </c>
      <c r="H78" s="17">
        <v>77.0</v>
      </c>
      <c r="I78" s="17">
        <f t="array" ref="I78">XLOOKUP(TO!$A78,MACROZONAS!B:B,MACROZONAS!A:A)</f>
        <v>7</v>
      </c>
      <c r="J78" s="17">
        <f t="array" ref="J78">XLOOKUP(TO!$B78,SETORES!B:B,SETORES!A:A)</f>
        <v>11</v>
      </c>
    </row>
    <row r="79" ht="14.25" customHeight="1">
      <c r="A79" s="17" t="s">
        <v>33</v>
      </c>
      <c r="B79" s="17" t="s">
        <v>20</v>
      </c>
      <c r="C79" s="16">
        <v>60.0</v>
      </c>
      <c r="D79" s="17"/>
      <c r="E79" s="25">
        <v>10.0</v>
      </c>
      <c r="F79" s="17"/>
      <c r="G79" s="17" t="s">
        <v>130</v>
      </c>
      <c r="H79" s="17">
        <v>78.0</v>
      </c>
      <c r="I79" s="17">
        <f t="array" ref="I79">XLOOKUP(TO!$A79,MACROZONAS!B:B,MACROZONAS!A:A)</f>
        <v>1</v>
      </c>
      <c r="J79" s="17">
        <f t="array" ref="J79">XLOOKUP(TO!$B79,SETORES!B:B,SETORES!A:A)</f>
        <v>12</v>
      </c>
    </row>
    <row r="80" ht="14.25" customHeight="1">
      <c r="A80" s="17" t="s">
        <v>28</v>
      </c>
      <c r="B80" s="17" t="s">
        <v>20</v>
      </c>
      <c r="C80" s="16">
        <v>60.0</v>
      </c>
      <c r="D80" s="17"/>
      <c r="E80" s="25">
        <v>10.0</v>
      </c>
      <c r="F80" s="17"/>
      <c r="G80" s="17" t="s">
        <v>130</v>
      </c>
      <c r="H80" s="17">
        <v>79.0</v>
      </c>
      <c r="I80" s="17">
        <f t="array" ref="I80">XLOOKUP(TO!$A80,MACROZONAS!B:B,MACROZONAS!A:A)</f>
        <v>2</v>
      </c>
      <c r="J80" s="17">
        <f t="array" ref="J80">XLOOKUP(TO!$B80,SETORES!B:B,SETORES!A:A)</f>
        <v>12</v>
      </c>
    </row>
    <row r="81" ht="14.25" customHeight="1">
      <c r="A81" s="17" t="s">
        <v>42</v>
      </c>
      <c r="B81" s="17" t="s">
        <v>20</v>
      </c>
      <c r="C81" s="16">
        <v>60.0</v>
      </c>
      <c r="D81" s="17"/>
      <c r="E81" s="25">
        <v>10.0</v>
      </c>
      <c r="F81" s="17"/>
      <c r="G81" s="17" t="s">
        <v>130</v>
      </c>
      <c r="H81" s="17">
        <v>80.0</v>
      </c>
      <c r="I81" s="17">
        <f t="array" ref="I81">XLOOKUP(TO!$A81,MACROZONAS!B:B,MACROZONAS!A:A)</f>
        <v>3</v>
      </c>
      <c r="J81" s="17">
        <f t="array" ref="J81">XLOOKUP(TO!$B81,SETORES!B:B,SETORES!A:A)</f>
        <v>12</v>
      </c>
    </row>
    <row r="82" ht="14.25" customHeight="1">
      <c r="A82" s="17" t="s">
        <v>18</v>
      </c>
      <c r="B82" s="17" t="s">
        <v>20</v>
      </c>
      <c r="C82" s="16">
        <v>60.0</v>
      </c>
      <c r="D82" s="17"/>
      <c r="E82" s="25">
        <v>10.0</v>
      </c>
      <c r="F82" s="17"/>
      <c r="G82" s="17" t="s">
        <v>130</v>
      </c>
      <c r="H82" s="17">
        <v>81.0</v>
      </c>
      <c r="I82" s="17">
        <f t="array" ref="I82">XLOOKUP(TO!$A82,MACROZONAS!B:B,MACROZONAS!A:A)</f>
        <v>4</v>
      </c>
      <c r="J82" s="17">
        <f t="array" ref="J82">XLOOKUP(TO!$B82,SETORES!B:B,SETORES!A:A)</f>
        <v>12</v>
      </c>
    </row>
    <row r="83" ht="14.25" customHeight="1">
      <c r="A83" s="17" t="s">
        <v>39</v>
      </c>
      <c r="B83" s="17" t="s">
        <v>20</v>
      </c>
      <c r="C83" s="16">
        <v>10.0</v>
      </c>
      <c r="D83" s="17"/>
      <c r="E83" s="25">
        <v>10.0</v>
      </c>
      <c r="F83" s="17"/>
      <c r="G83" s="17" t="s">
        <v>130</v>
      </c>
      <c r="H83" s="17">
        <v>82.0</v>
      </c>
      <c r="I83" s="17">
        <f t="array" ref="I83">XLOOKUP(TO!$A83,MACROZONAS!B:B,MACROZONAS!A:A)</f>
        <v>5</v>
      </c>
      <c r="J83" s="17">
        <f t="array" ref="J83">XLOOKUP(TO!$B83,SETORES!B:B,SETORES!A:A)</f>
        <v>12</v>
      </c>
    </row>
    <row r="84" ht="14.25" customHeight="1">
      <c r="A84" s="17" t="s">
        <v>29</v>
      </c>
      <c r="B84" s="17" t="s">
        <v>20</v>
      </c>
      <c r="C84" s="16">
        <v>5.0</v>
      </c>
      <c r="D84" s="17"/>
      <c r="E84" s="25">
        <v>10.0</v>
      </c>
      <c r="F84" s="17"/>
      <c r="G84" s="17" t="s">
        <v>130</v>
      </c>
      <c r="H84" s="17">
        <v>83.0</v>
      </c>
      <c r="I84" s="17">
        <f t="array" ref="I84">XLOOKUP(TO!$A84,MACROZONAS!B:B,MACROZONAS!A:A)</f>
        <v>6</v>
      </c>
      <c r="J84" s="17">
        <f t="array" ref="J84">XLOOKUP(TO!$B84,SETORES!B:B,SETORES!A:A)</f>
        <v>12</v>
      </c>
    </row>
    <row r="85" ht="14.25" customHeight="1">
      <c r="A85" s="17" t="s">
        <v>43</v>
      </c>
      <c r="B85" s="17" t="s">
        <v>20</v>
      </c>
      <c r="C85" s="16">
        <v>10.0</v>
      </c>
      <c r="D85" s="17"/>
      <c r="E85" s="25">
        <v>10.0</v>
      </c>
      <c r="F85" s="17"/>
      <c r="G85" s="17" t="s">
        <v>130</v>
      </c>
      <c r="H85" s="17">
        <v>84.0</v>
      </c>
      <c r="I85" s="17">
        <f t="array" ref="I85">XLOOKUP(TO!$A85,MACROZONAS!B:B,MACROZONAS!A:A)</f>
        <v>7</v>
      </c>
      <c r="J85" s="17">
        <f t="array" ref="J85">XLOOKUP(TO!$B85,SETORES!B:B,SETORES!A:A)</f>
        <v>12</v>
      </c>
    </row>
    <row r="86" ht="14.25" customHeight="1">
      <c r="A86" s="17" t="s">
        <v>33</v>
      </c>
      <c r="B86" s="17" t="s">
        <v>27</v>
      </c>
      <c r="C86" s="16">
        <v>60.0</v>
      </c>
      <c r="D86" s="17"/>
      <c r="E86" s="25">
        <v>10.0</v>
      </c>
      <c r="F86" s="17"/>
      <c r="G86" s="17" t="s">
        <v>130</v>
      </c>
      <c r="H86" s="17">
        <v>85.0</v>
      </c>
      <c r="I86" s="17">
        <f t="array" ref="I86">XLOOKUP(TO!$A86,MACROZONAS!B:B,MACROZONAS!A:A)</f>
        <v>1</v>
      </c>
      <c r="J86" s="17">
        <f t="array" ref="J86">XLOOKUP(TO!$B86,SETORES!B:B,SETORES!A:A)</f>
        <v>13</v>
      </c>
    </row>
    <row r="87" ht="14.25" customHeight="1">
      <c r="A87" s="17" t="s">
        <v>28</v>
      </c>
      <c r="B87" s="17" t="s">
        <v>27</v>
      </c>
      <c r="C87" s="16">
        <v>60.0</v>
      </c>
      <c r="D87" s="17"/>
      <c r="E87" s="25">
        <v>10.0</v>
      </c>
      <c r="F87" s="17"/>
      <c r="G87" s="17" t="s">
        <v>130</v>
      </c>
      <c r="H87" s="17">
        <v>86.0</v>
      </c>
      <c r="I87" s="17">
        <f t="array" ref="I87">XLOOKUP(TO!$A87,MACROZONAS!B:B,MACROZONAS!A:A)</f>
        <v>2</v>
      </c>
      <c r="J87" s="17">
        <f t="array" ref="J87">XLOOKUP(TO!$B87,SETORES!B:B,SETORES!A:A)</f>
        <v>13</v>
      </c>
    </row>
    <row r="88" ht="14.25" customHeight="1">
      <c r="A88" s="17" t="s">
        <v>42</v>
      </c>
      <c r="B88" s="17" t="s">
        <v>27</v>
      </c>
      <c r="C88" s="16">
        <v>60.0</v>
      </c>
      <c r="D88" s="17"/>
      <c r="E88" s="25">
        <v>10.0</v>
      </c>
      <c r="F88" s="17"/>
      <c r="G88" s="17" t="s">
        <v>130</v>
      </c>
      <c r="H88" s="17">
        <v>87.0</v>
      </c>
      <c r="I88" s="17">
        <f t="array" ref="I88">XLOOKUP(TO!$A88,MACROZONAS!B:B,MACROZONAS!A:A)</f>
        <v>3</v>
      </c>
      <c r="J88" s="17">
        <f t="array" ref="J88">XLOOKUP(TO!$B88,SETORES!B:B,SETORES!A:A)</f>
        <v>13</v>
      </c>
    </row>
    <row r="89" ht="14.25" customHeight="1">
      <c r="A89" s="17" t="s">
        <v>18</v>
      </c>
      <c r="B89" s="17" t="s">
        <v>27</v>
      </c>
      <c r="C89" s="16">
        <v>60.0</v>
      </c>
      <c r="D89" s="17"/>
      <c r="E89" s="25">
        <v>10.0</v>
      </c>
      <c r="F89" s="17"/>
      <c r="G89" s="17" t="s">
        <v>130</v>
      </c>
      <c r="H89" s="17">
        <v>88.0</v>
      </c>
      <c r="I89" s="17">
        <f t="array" ref="I89">XLOOKUP(TO!$A89,MACROZONAS!B:B,MACROZONAS!A:A)</f>
        <v>4</v>
      </c>
      <c r="J89" s="17">
        <f t="array" ref="J89">XLOOKUP(TO!$B89,SETORES!B:B,SETORES!A:A)</f>
        <v>13</v>
      </c>
    </row>
    <row r="90" ht="14.25" customHeight="1">
      <c r="A90" s="17" t="s">
        <v>39</v>
      </c>
      <c r="B90" s="17" t="s">
        <v>27</v>
      </c>
      <c r="C90" s="16">
        <v>10.0</v>
      </c>
      <c r="D90" s="17"/>
      <c r="E90" s="25">
        <v>10.0</v>
      </c>
      <c r="F90" s="17"/>
      <c r="G90" s="17" t="s">
        <v>130</v>
      </c>
      <c r="H90" s="17">
        <v>89.0</v>
      </c>
      <c r="I90" s="17">
        <f t="array" ref="I90">XLOOKUP(TO!$A90,MACROZONAS!B:B,MACROZONAS!A:A)</f>
        <v>5</v>
      </c>
      <c r="J90" s="17">
        <f t="array" ref="J90">XLOOKUP(TO!$B90,SETORES!B:B,SETORES!A:A)</f>
        <v>13</v>
      </c>
    </row>
    <row r="91" ht="14.25" customHeight="1">
      <c r="A91" s="17" t="s">
        <v>29</v>
      </c>
      <c r="B91" s="17" t="s">
        <v>27</v>
      </c>
      <c r="C91" s="16">
        <v>5.0</v>
      </c>
      <c r="D91" s="17"/>
      <c r="E91" s="25">
        <v>10.0</v>
      </c>
      <c r="F91" s="17"/>
      <c r="G91" s="17" t="s">
        <v>130</v>
      </c>
      <c r="H91" s="17">
        <v>90.0</v>
      </c>
      <c r="I91" s="17">
        <f t="array" ref="I91">XLOOKUP(TO!$A91,MACROZONAS!B:B,MACROZONAS!A:A)</f>
        <v>6</v>
      </c>
      <c r="J91" s="17">
        <f t="array" ref="J91">XLOOKUP(TO!$B91,SETORES!B:B,SETORES!A:A)</f>
        <v>13</v>
      </c>
    </row>
    <row r="92" ht="14.25" customHeight="1">
      <c r="A92" s="17" t="s">
        <v>43</v>
      </c>
      <c r="B92" s="17" t="s">
        <v>27</v>
      </c>
      <c r="C92" s="16">
        <v>10.0</v>
      </c>
      <c r="D92" s="17"/>
      <c r="E92" s="25">
        <v>10.0</v>
      </c>
      <c r="F92" s="17"/>
      <c r="G92" s="17" t="s">
        <v>130</v>
      </c>
      <c r="H92" s="17">
        <v>91.0</v>
      </c>
      <c r="I92" s="17">
        <f t="array" ref="I92">XLOOKUP(TO!$A92,MACROZONAS!B:B,MACROZONAS!A:A)</f>
        <v>7</v>
      </c>
      <c r="J92" s="17">
        <f t="array" ref="J92">XLOOKUP(TO!$B92,SETORES!B:B,SETORES!A:A)</f>
        <v>13</v>
      </c>
    </row>
    <row r="93" ht="14.25" customHeight="1">
      <c r="A93" s="17" t="s">
        <v>33</v>
      </c>
      <c r="B93" s="17" t="s">
        <v>24</v>
      </c>
      <c r="C93" s="16">
        <v>60.0</v>
      </c>
      <c r="D93" s="17"/>
      <c r="E93" s="25">
        <v>10.0</v>
      </c>
      <c r="F93" s="17"/>
      <c r="G93" s="17" t="s">
        <v>130</v>
      </c>
      <c r="H93" s="17">
        <v>92.0</v>
      </c>
      <c r="I93" s="17">
        <f t="array" ref="I93">XLOOKUP(TO!$A93,MACROZONAS!B:B,MACROZONAS!A:A)</f>
        <v>1</v>
      </c>
      <c r="J93" s="17">
        <f t="array" ref="J93">XLOOKUP(TO!$B93,SETORES!B:B,SETORES!A:A)</f>
        <v>14</v>
      </c>
    </row>
    <row r="94" ht="14.25" customHeight="1">
      <c r="A94" s="17" t="s">
        <v>28</v>
      </c>
      <c r="B94" s="17" t="s">
        <v>24</v>
      </c>
      <c r="C94" s="16">
        <v>60.0</v>
      </c>
      <c r="D94" s="17"/>
      <c r="E94" s="25">
        <v>10.0</v>
      </c>
      <c r="F94" s="17"/>
      <c r="G94" s="17" t="s">
        <v>130</v>
      </c>
      <c r="H94" s="17">
        <v>93.0</v>
      </c>
      <c r="I94" s="17">
        <f t="array" ref="I94">XLOOKUP(TO!$A94,MACROZONAS!B:B,MACROZONAS!A:A)</f>
        <v>2</v>
      </c>
      <c r="J94" s="17">
        <f t="array" ref="J94">XLOOKUP(TO!$B94,SETORES!B:B,SETORES!A:A)</f>
        <v>14</v>
      </c>
    </row>
    <row r="95" ht="14.25" customHeight="1">
      <c r="A95" s="17" t="s">
        <v>42</v>
      </c>
      <c r="B95" s="17" t="s">
        <v>24</v>
      </c>
      <c r="C95" s="16">
        <v>60.0</v>
      </c>
      <c r="D95" s="17"/>
      <c r="E95" s="25">
        <v>10.0</v>
      </c>
      <c r="F95" s="17"/>
      <c r="G95" s="17" t="s">
        <v>130</v>
      </c>
      <c r="H95" s="17">
        <v>94.0</v>
      </c>
      <c r="I95" s="17">
        <f t="array" ref="I95">XLOOKUP(TO!$A95,MACROZONAS!B:B,MACROZONAS!A:A)</f>
        <v>3</v>
      </c>
      <c r="J95" s="17">
        <f t="array" ref="J95">XLOOKUP(TO!$B95,SETORES!B:B,SETORES!A:A)</f>
        <v>14</v>
      </c>
    </row>
    <row r="96" ht="14.25" customHeight="1">
      <c r="A96" s="17" t="s">
        <v>18</v>
      </c>
      <c r="B96" s="17" t="s">
        <v>24</v>
      </c>
      <c r="C96" s="16">
        <v>60.0</v>
      </c>
      <c r="D96" s="17"/>
      <c r="E96" s="25">
        <v>10.0</v>
      </c>
      <c r="F96" s="17"/>
      <c r="G96" s="17" t="s">
        <v>130</v>
      </c>
      <c r="H96" s="17">
        <v>95.0</v>
      </c>
      <c r="I96" s="17">
        <f t="array" ref="I96">XLOOKUP(TO!$A96,MACROZONAS!B:B,MACROZONAS!A:A)</f>
        <v>4</v>
      </c>
      <c r="J96" s="17">
        <f t="array" ref="J96">XLOOKUP(TO!$B96,SETORES!B:B,SETORES!A:A)</f>
        <v>14</v>
      </c>
    </row>
    <row r="97" ht="14.25" customHeight="1">
      <c r="A97" s="17" t="s">
        <v>39</v>
      </c>
      <c r="B97" s="17" t="s">
        <v>24</v>
      </c>
      <c r="C97" s="16">
        <v>10.0</v>
      </c>
      <c r="D97" s="17"/>
      <c r="E97" s="25">
        <v>10.0</v>
      </c>
      <c r="F97" s="17"/>
      <c r="G97" s="17" t="s">
        <v>130</v>
      </c>
      <c r="H97" s="17">
        <v>96.0</v>
      </c>
      <c r="I97" s="17">
        <f t="array" ref="I97">XLOOKUP(TO!$A97,MACROZONAS!B:B,MACROZONAS!A:A)</f>
        <v>5</v>
      </c>
      <c r="J97" s="17">
        <f t="array" ref="J97">XLOOKUP(TO!$B97,SETORES!B:B,SETORES!A:A)</f>
        <v>14</v>
      </c>
    </row>
    <row r="98" ht="14.25" customHeight="1">
      <c r="A98" s="17" t="s">
        <v>29</v>
      </c>
      <c r="B98" s="17" t="s">
        <v>24</v>
      </c>
      <c r="C98" s="16">
        <v>5.0</v>
      </c>
      <c r="D98" s="17"/>
      <c r="E98" s="25">
        <v>10.0</v>
      </c>
      <c r="F98" s="17"/>
      <c r="G98" s="17" t="s">
        <v>130</v>
      </c>
      <c r="H98" s="17">
        <v>97.0</v>
      </c>
      <c r="I98" s="17">
        <f t="array" ref="I98">XLOOKUP(TO!$A98,MACROZONAS!B:B,MACROZONAS!A:A)</f>
        <v>6</v>
      </c>
      <c r="J98" s="17">
        <f t="array" ref="J98">XLOOKUP(TO!$B98,SETORES!B:B,SETORES!A:A)</f>
        <v>14</v>
      </c>
    </row>
    <row r="99" ht="14.25" customHeight="1">
      <c r="A99" s="17" t="s">
        <v>43</v>
      </c>
      <c r="B99" s="17" t="s">
        <v>24</v>
      </c>
      <c r="C99" s="16">
        <v>10.0</v>
      </c>
      <c r="D99" s="17"/>
      <c r="E99" s="25">
        <v>10.0</v>
      </c>
      <c r="F99" s="17"/>
      <c r="G99" s="17" t="s">
        <v>130</v>
      </c>
      <c r="H99" s="17">
        <v>98.0</v>
      </c>
      <c r="I99" s="17">
        <f t="array" ref="I99">XLOOKUP(TO!$A99,MACROZONAS!B:B,MACROZONAS!A:A)</f>
        <v>7</v>
      </c>
      <c r="J99" s="17">
        <f t="array" ref="J99">XLOOKUP(TO!$B99,SETORES!B:B,SETORES!A:A)</f>
        <v>14</v>
      </c>
    </row>
    <row r="100" ht="14.25" customHeight="1">
      <c r="A100" s="17" t="s">
        <v>33</v>
      </c>
      <c r="B100" s="17" t="s">
        <v>23</v>
      </c>
      <c r="C100" s="16">
        <v>60.0</v>
      </c>
      <c r="D100" s="17"/>
      <c r="E100" s="25">
        <v>10.0</v>
      </c>
      <c r="F100" s="17"/>
      <c r="G100" s="17" t="s">
        <v>130</v>
      </c>
      <c r="H100" s="17">
        <v>99.0</v>
      </c>
      <c r="I100" s="17">
        <f t="array" ref="I100">XLOOKUP(TO!$A100,MACROZONAS!B:B,MACROZONAS!A:A)</f>
        <v>1</v>
      </c>
      <c r="J100" s="17">
        <f t="array" ref="J100">XLOOKUP(TO!$B100,SETORES!B:B,SETORES!A:A)</f>
        <v>15</v>
      </c>
    </row>
    <row r="101" ht="14.25" customHeight="1">
      <c r="A101" s="17" t="s">
        <v>28</v>
      </c>
      <c r="B101" s="17" t="s">
        <v>23</v>
      </c>
      <c r="C101" s="16">
        <v>60.0</v>
      </c>
      <c r="D101" s="17"/>
      <c r="E101" s="25">
        <v>10.0</v>
      </c>
      <c r="F101" s="17"/>
      <c r="G101" s="17" t="s">
        <v>130</v>
      </c>
      <c r="H101" s="17">
        <v>100.0</v>
      </c>
      <c r="I101" s="17">
        <f t="array" ref="I101">XLOOKUP(TO!$A101,MACROZONAS!B:B,MACROZONAS!A:A)</f>
        <v>2</v>
      </c>
      <c r="J101" s="17">
        <f t="array" ref="J101">XLOOKUP(TO!$B101,SETORES!B:B,SETORES!A:A)</f>
        <v>15</v>
      </c>
    </row>
    <row r="102" ht="14.25" customHeight="1">
      <c r="A102" s="17" t="s">
        <v>42</v>
      </c>
      <c r="B102" s="17" t="s">
        <v>23</v>
      </c>
      <c r="C102" s="16">
        <v>60.0</v>
      </c>
      <c r="D102" s="17"/>
      <c r="E102" s="25">
        <v>10.0</v>
      </c>
      <c r="F102" s="17"/>
      <c r="G102" s="17" t="s">
        <v>130</v>
      </c>
      <c r="H102" s="17">
        <v>101.0</v>
      </c>
      <c r="I102" s="17">
        <f t="array" ref="I102">XLOOKUP(TO!$A102,MACROZONAS!B:B,MACROZONAS!A:A)</f>
        <v>3</v>
      </c>
      <c r="J102" s="17">
        <f t="array" ref="J102">XLOOKUP(TO!$B102,SETORES!B:B,SETORES!A:A)</f>
        <v>15</v>
      </c>
    </row>
    <row r="103" ht="14.25" customHeight="1">
      <c r="A103" s="17" t="s">
        <v>18</v>
      </c>
      <c r="B103" s="17" t="s">
        <v>23</v>
      </c>
      <c r="C103" s="16">
        <v>60.0</v>
      </c>
      <c r="D103" s="17"/>
      <c r="E103" s="25">
        <v>10.0</v>
      </c>
      <c r="F103" s="17"/>
      <c r="G103" s="17" t="s">
        <v>130</v>
      </c>
      <c r="H103" s="17">
        <v>102.0</v>
      </c>
      <c r="I103" s="17">
        <f t="array" ref="I103">XLOOKUP(TO!$A103,MACROZONAS!B:B,MACROZONAS!A:A)</f>
        <v>4</v>
      </c>
      <c r="J103" s="17">
        <f t="array" ref="J103">XLOOKUP(TO!$B103,SETORES!B:B,SETORES!A:A)</f>
        <v>15</v>
      </c>
    </row>
    <row r="104" ht="14.25" customHeight="1">
      <c r="A104" s="17" t="s">
        <v>39</v>
      </c>
      <c r="B104" s="17" t="s">
        <v>23</v>
      </c>
      <c r="C104" s="16">
        <v>10.0</v>
      </c>
      <c r="D104" s="17"/>
      <c r="E104" s="25">
        <v>10.0</v>
      </c>
      <c r="F104" s="17"/>
      <c r="G104" s="17" t="s">
        <v>130</v>
      </c>
      <c r="H104" s="17">
        <v>103.0</v>
      </c>
      <c r="I104" s="17">
        <f t="array" ref="I104">XLOOKUP(TO!$A104,MACROZONAS!B:B,MACROZONAS!A:A)</f>
        <v>5</v>
      </c>
      <c r="J104" s="17">
        <f t="array" ref="J104">XLOOKUP(TO!$B104,SETORES!B:B,SETORES!A:A)</f>
        <v>15</v>
      </c>
    </row>
    <row r="105" ht="14.25" customHeight="1">
      <c r="A105" s="17" t="s">
        <v>29</v>
      </c>
      <c r="B105" s="17" t="s">
        <v>23</v>
      </c>
      <c r="C105" s="16">
        <v>5.0</v>
      </c>
      <c r="D105" s="17"/>
      <c r="E105" s="25">
        <v>10.0</v>
      </c>
      <c r="F105" s="17"/>
      <c r="G105" s="17" t="s">
        <v>130</v>
      </c>
      <c r="H105" s="17">
        <v>104.0</v>
      </c>
      <c r="I105" s="17">
        <f t="array" ref="I105">XLOOKUP(TO!$A105,MACROZONAS!B:B,MACROZONAS!A:A)</f>
        <v>6</v>
      </c>
      <c r="J105" s="17">
        <f t="array" ref="J105">XLOOKUP(TO!$B105,SETORES!B:B,SETORES!A:A)</f>
        <v>15</v>
      </c>
    </row>
    <row r="106" ht="14.25" customHeight="1">
      <c r="A106" s="17" t="s">
        <v>43</v>
      </c>
      <c r="B106" s="17" t="s">
        <v>23</v>
      </c>
      <c r="C106" s="16">
        <v>10.0</v>
      </c>
      <c r="D106" s="17"/>
      <c r="E106" s="25">
        <v>10.0</v>
      </c>
      <c r="F106" s="17"/>
      <c r="G106" s="17" t="s">
        <v>130</v>
      </c>
      <c r="H106" s="17">
        <v>105.0</v>
      </c>
      <c r="I106" s="17">
        <f t="array" ref="I106">XLOOKUP(TO!$A106,MACROZONAS!B:B,MACROZONAS!A:A)</f>
        <v>7</v>
      </c>
      <c r="J106" s="17">
        <f t="array" ref="J106">XLOOKUP(TO!$B106,SETORES!B:B,SETORES!A:A)</f>
        <v>15</v>
      </c>
    </row>
    <row r="107" ht="14.25" customHeight="1">
      <c r="A107" s="17" t="s">
        <v>33</v>
      </c>
      <c r="B107" s="17" t="s">
        <v>35</v>
      </c>
      <c r="C107" s="16">
        <v>60.0</v>
      </c>
      <c r="D107" s="17"/>
      <c r="E107" s="25">
        <v>10.0</v>
      </c>
      <c r="F107" s="17"/>
      <c r="G107" s="17" t="s">
        <v>130</v>
      </c>
      <c r="H107" s="17">
        <v>106.0</v>
      </c>
      <c r="I107" s="17">
        <f t="array" ref="I107">XLOOKUP(TO!$A107,MACROZONAS!B:B,MACROZONAS!A:A)</f>
        <v>1</v>
      </c>
      <c r="J107" s="17">
        <f t="array" ref="J107">XLOOKUP(TO!$B107,SETORES!B:B,SETORES!A:A)</f>
        <v>16</v>
      </c>
    </row>
    <row r="108" ht="14.25" customHeight="1">
      <c r="A108" s="17" t="s">
        <v>28</v>
      </c>
      <c r="B108" s="17" t="s">
        <v>35</v>
      </c>
      <c r="C108" s="16">
        <v>60.0</v>
      </c>
      <c r="D108" s="17"/>
      <c r="E108" s="25">
        <v>10.0</v>
      </c>
      <c r="F108" s="17"/>
      <c r="G108" s="17" t="s">
        <v>130</v>
      </c>
      <c r="H108" s="17">
        <v>107.0</v>
      </c>
      <c r="I108" s="17">
        <f t="array" ref="I108">XLOOKUP(TO!$A108,MACROZONAS!B:B,MACROZONAS!A:A)</f>
        <v>2</v>
      </c>
      <c r="J108" s="17">
        <f t="array" ref="J108">XLOOKUP(TO!$B108,SETORES!B:B,SETORES!A:A)</f>
        <v>16</v>
      </c>
    </row>
    <row r="109" ht="14.25" customHeight="1">
      <c r="A109" s="17" t="s">
        <v>42</v>
      </c>
      <c r="B109" s="17" t="s">
        <v>35</v>
      </c>
      <c r="C109" s="16">
        <v>60.0</v>
      </c>
      <c r="D109" s="17"/>
      <c r="E109" s="25">
        <v>10.0</v>
      </c>
      <c r="F109" s="17"/>
      <c r="G109" s="17" t="s">
        <v>130</v>
      </c>
      <c r="H109" s="17">
        <v>108.0</v>
      </c>
      <c r="I109" s="17">
        <f t="array" ref="I109">XLOOKUP(TO!$A109,MACROZONAS!B:B,MACROZONAS!A:A)</f>
        <v>3</v>
      </c>
      <c r="J109" s="17">
        <f t="array" ref="J109">XLOOKUP(TO!$B109,SETORES!B:B,SETORES!A:A)</f>
        <v>16</v>
      </c>
    </row>
    <row r="110" ht="14.25" customHeight="1">
      <c r="A110" s="17" t="s">
        <v>18</v>
      </c>
      <c r="B110" s="17" t="s">
        <v>35</v>
      </c>
      <c r="C110" s="16">
        <v>60.0</v>
      </c>
      <c r="D110" s="17"/>
      <c r="E110" s="25">
        <v>10.0</v>
      </c>
      <c r="F110" s="17"/>
      <c r="G110" s="17" t="s">
        <v>130</v>
      </c>
      <c r="H110" s="17">
        <v>109.0</v>
      </c>
      <c r="I110" s="17">
        <f t="array" ref="I110">XLOOKUP(TO!$A110,MACROZONAS!B:B,MACROZONAS!A:A)</f>
        <v>4</v>
      </c>
      <c r="J110" s="17">
        <f t="array" ref="J110">XLOOKUP(TO!$B110,SETORES!B:B,SETORES!A:A)</f>
        <v>16</v>
      </c>
    </row>
    <row r="111" ht="14.25" customHeight="1">
      <c r="A111" s="17" t="s">
        <v>39</v>
      </c>
      <c r="B111" s="17" t="s">
        <v>35</v>
      </c>
      <c r="C111" s="16">
        <v>10.0</v>
      </c>
      <c r="D111" s="17"/>
      <c r="E111" s="25">
        <v>10.0</v>
      </c>
      <c r="F111" s="17"/>
      <c r="G111" s="17" t="s">
        <v>130</v>
      </c>
      <c r="H111" s="17">
        <v>110.0</v>
      </c>
      <c r="I111" s="17">
        <f t="array" ref="I111">XLOOKUP(TO!$A111,MACROZONAS!B:B,MACROZONAS!A:A)</f>
        <v>5</v>
      </c>
      <c r="J111" s="17">
        <f t="array" ref="J111">XLOOKUP(TO!$B111,SETORES!B:B,SETORES!A:A)</f>
        <v>16</v>
      </c>
    </row>
    <row r="112" ht="14.25" customHeight="1">
      <c r="A112" s="17" t="s">
        <v>29</v>
      </c>
      <c r="B112" s="17" t="s">
        <v>35</v>
      </c>
      <c r="C112" s="16">
        <v>5.0</v>
      </c>
      <c r="D112" s="17"/>
      <c r="E112" s="25">
        <v>10.0</v>
      </c>
      <c r="F112" s="17"/>
      <c r="G112" s="17" t="s">
        <v>130</v>
      </c>
      <c r="H112" s="17">
        <v>111.0</v>
      </c>
      <c r="I112" s="17">
        <f t="array" ref="I112">XLOOKUP(TO!$A112,MACROZONAS!B:B,MACROZONAS!A:A)</f>
        <v>6</v>
      </c>
      <c r="J112" s="17">
        <f t="array" ref="J112">XLOOKUP(TO!$B112,SETORES!B:B,SETORES!A:A)</f>
        <v>16</v>
      </c>
    </row>
    <row r="113" ht="14.25" customHeight="1">
      <c r="A113" s="17" t="s">
        <v>43</v>
      </c>
      <c r="B113" s="17" t="s">
        <v>35</v>
      </c>
      <c r="C113" s="16">
        <v>10.0</v>
      </c>
      <c r="D113" s="17"/>
      <c r="E113" s="25">
        <v>10.0</v>
      </c>
      <c r="F113" s="17"/>
      <c r="G113" s="17" t="s">
        <v>130</v>
      </c>
      <c r="H113" s="17">
        <v>112.0</v>
      </c>
      <c r="I113" s="17">
        <f t="array" ref="I113">XLOOKUP(TO!$A113,MACROZONAS!B:B,MACROZONAS!A:A)</f>
        <v>7</v>
      </c>
      <c r="J113" s="17">
        <f t="array" ref="J113">XLOOKUP(TO!$B113,SETORES!B:B,SETORES!A:A)</f>
        <v>16</v>
      </c>
    </row>
    <row r="114" ht="14.25" customHeight="1">
      <c r="A114" s="17" t="s">
        <v>33</v>
      </c>
      <c r="B114" s="17" t="s">
        <v>26</v>
      </c>
      <c r="C114" s="16">
        <v>60.0</v>
      </c>
      <c r="D114" s="17"/>
      <c r="E114" s="25">
        <v>10.0</v>
      </c>
      <c r="F114" s="17"/>
      <c r="G114" s="17" t="s">
        <v>130</v>
      </c>
      <c r="H114" s="17">
        <v>113.0</v>
      </c>
      <c r="I114" s="17">
        <f t="array" ref="I114">XLOOKUP(TO!$A114,MACROZONAS!B:B,MACROZONAS!A:A)</f>
        <v>1</v>
      </c>
      <c r="J114" s="17">
        <f t="array" ref="J114">XLOOKUP(TO!$B114,SETORES!B:B,SETORES!A:A)</f>
        <v>17</v>
      </c>
    </row>
    <row r="115" ht="14.25" customHeight="1">
      <c r="A115" s="17" t="s">
        <v>28</v>
      </c>
      <c r="B115" s="17" t="s">
        <v>26</v>
      </c>
      <c r="C115" s="16">
        <v>60.0</v>
      </c>
      <c r="D115" s="17"/>
      <c r="E115" s="25">
        <v>10.0</v>
      </c>
      <c r="F115" s="17"/>
      <c r="G115" s="17" t="s">
        <v>130</v>
      </c>
      <c r="H115" s="17">
        <v>114.0</v>
      </c>
      <c r="I115" s="17">
        <f t="array" ref="I115">XLOOKUP(TO!$A115,MACROZONAS!B:B,MACROZONAS!A:A)</f>
        <v>2</v>
      </c>
      <c r="J115" s="17">
        <f t="array" ref="J115">XLOOKUP(TO!$B115,SETORES!B:B,SETORES!A:A)</f>
        <v>17</v>
      </c>
    </row>
    <row r="116" ht="14.25" customHeight="1">
      <c r="A116" s="17" t="s">
        <v>42</v>
      </c>
      <c r="B116" s="17" t="s">
        <v>26</v>
      </c>
      <c r="C116" s="16">
        <v>60.0</v>
      </c>
      <c r="D116" s="17"/>
      <c r="E116" s="25">
        <v>10.0</v>
      </c>
      <c r="F116" s="17"/>
      <c r="G116" s="17" t="s">
        <v>130</v>
      </c>
      <c r="H116" s="17">
        <v>115.0</v>
      </c>
      <c r="I116" s="17">
        <f t="array" ref="I116">XLOOKUP(TO!$A116,MACROZONAS!B:B,MACROZONAS!A:A)</f>
        <v>3</v>
      </c>
      <c r="J116" s="17">
        <f t="array" ref="J116">XLOOKUP(TO!$B116,SETORES!B:B,SETORES!A:A)</f>
        <v>17</v>
      </c>
    </row>
    <row r="117" ht="14.25" customHeight="1">
      <c r="A117" s="17" t="s">
        <v>18</v>
      </c>
      <c r="B117" s="17" t="s">
        <v>26</v>
      </c>
      <c r="C117" s="16">
        <v>60.0</v>
      </c>
      <c r="D117" s="17"/>
      <c r="E117" s="25">
        <v>10.0</v>
      </c>
      <c r="F117" s="17"/>
      <c r="G117" s="17" t="s">
        <v>130</v>
      </c>
      <c r="H117" s="17">
        <v>116.0</v>
      </c>
      <c r="I117" s="17">
        <f t="array" ref="I117">XLOOKUP(TO!$A117,MACROZONAS!B:B,MACROZONAS!A:A)</f>
        <v>4</v>
      </c>
      <c r="J117" s="17">
        <f t="array" ref="J117">XLOOKUP(TO!$B117,SETORES!B:B,SETORES!A:A)</f>
        <v>17</v>
      </c>
    </row>
    <row r="118" ht="14.25" customHeight="1">
      <c r="A118" s="17" t="s">
        <v>39</v>
      </c>
      <c r="B118" s="17" t="s">
        <v>26</v>
      </c>
      <c r="C118" s="16">
        <v>10.0</v>
      </c>
      <c r="D118" s="17"/>
      <c r="E118" s="25">
        <v>10.0</v>
      </c>
      <c r="F118" s="17"/>
      <c r="G118" s="17" t="s">
        <v>130</v>
      </c>
      <c r="H118" s="17">
        <v>117.0</v>
      </c>
      <c r="I118" s="17">
        <f t="array" ref="I118">XLOOKUP(TO!$A118,MACROZONAS!B:B,MACROZONAS!A:A)</f>
        <v>5</v>
      </c>
      <c r="J118" s="17">
        <f t="array" ref="J118">XLOOKUP(TO!$B118,SETORES!B:B,SETORES!A:A)</f>
        <v>17</v>
      </c>
    </row>
    <row r="119" ht="14.25" customHeight="1">
      <c r="A119" s="17" t="s">
        <v>29</v>
      </c>
      <c r="B119" s="17" t="s">
        <v>26</v>
      </c>
      <c r="C119" s="16">
        <v>5.0</v>
      </c>
      <c r="D119" s="17"/>
      <c r="E119" s="25">
        <v>10.0</v>
      </c>
      <c r="F119" s="17"/>
      <c r="G119" s="17" t="s">
        <v>130</v>
      </c>
      <c r="H119" s="17">
        <v>118.0</v>
      </c>
      <c r="I119" s="17">
        <f t="array" ref="I119">XLOOKUP(TO!$A119,MACROZONAS!B:B,MACROZONAS!A:A)</f>
        <v>6</v>
      </c>
      <c r="J119" s="17">
        <f t="array" ref="J119">XLOOKUP(TO!$B119,SETORES!B:B,SETORES!A:A)</f>
        <v>17</v>
      </c>
    </row>
    <row r="120" ht="14.25" customHeight="1">
      <c r="A120" s="17" t="s">
        <v>43</v>
      </c>
      <c r="B120" s="17" t="s">
        <v>26</v>
      </c>
      <c r="C120" s="16">
        <v>10.0</v>
      </c>
      <c r="D120" s="17"/>
      <c r="E120" s="25">
        <v>10.0</v>
      </c>
      <c r="F120" s="17"/>
      <c r="G120" s="17" t="s">
        <v>130</v>
      </c>
      <c r="H120" s="17">
        <v>119.0</v>
      </c>
      <c r="I120" s="17">
        <f t="array" ref="I120">XLOOKUP(TO!$A120,MACROZONAS!B:B,MACROZONAS!A:A)</f>
        <v>7</v>
      </c>
      <c r="J120" s="17">
        <f t="array" ref="J120">XLOOKUP(TO!$B120,SETORES!B:B,SETORES!A:A)</f>
        <v>17</v>
      </c>
    </row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dataValidations>
    <dataValidation type="list" allowBlank="1" showErrorMessage="1" sqref="A2:A120">
      <formula1>MACROZONAS!$B$2:$B$8</formula1>
    </dataValidation>
    <dataValidation type="list" allowBlank="1" showErrorMessage="1" sqref="B2:B120">
      <formula1>SETORES!$B$2:$B$18</formula1>
    </dataValidation>
  </dataValidations>
  <printOptions/>
  <pageMargins bottom="0.787401575" footer="0.0" header="0.0" left="0.511811024" right="0.511811024" top="0.787401575"/>
  <pageSetup orientation="landscape"/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1E4F5"/>
    <pageSetUpPr/>
  </sheetPr>
  <sheetViews>
    <sheetView workbookViewId="0"/>
  </sheetViews>
  <sheetFormatPr customHeight="1" defaultColWidth="12.63" defaultRowHeight="15.0"/>
  <cols>
    <col customWidth="1" min="1" max="1" width="23.75"/>
    <col customWidth="1" min="2" max="26" width="27.75"/>
  </cols>
  <sheetData>
    <row r="1" ht="14.25" customHeight="1">
      <c r="A1" s="24" t="s">
        <v>46</v>
      </c>
      <c r="B1" s="24" t="s">
        <v>47</v>
      </c>
      <c r="C1" s="24" t="s">
        <v>175</v>
      </c>
      <c r="D1" s="24" t="s">
        <v>158</v>
      </c>
      <c r="E1" s="24" t="s">
        <v>159</v>
      </c>
      <c r="F1" s="24" t="s">
        <v>160</v>
      </c>
      <c r="G1" s="24" t="s">
        <v>127</v>
      </c>
      <c r="H1" s="24" t="s">
        <v>176</v>
      </c>
      <c r="I1" s="24" t="s">
        <v>177</v>
      </c>
      <c r="J1" s="24" t="s">
        <v>178</v>
      </c>
    </row>
    <row r="2" ht="14.25" customHeight="1">
      <c r="A2" s="17" t="s">
        <v>33</v>
      </c>
      <c r="B2" s="17" t="s">
        <v>12</v>
      </c>
      <c r="C2" s="16">
        <v>5.0</v>
      </c>
      <c r="D2" s="17">
        <v>7.0</v>
      </c>
      <c r="E2" s="25">
        <v>10.0</v>
      </c>
      <c r="F2" s="17"/>
      <c r="G2" s="17" t="s">
        <v>130</v>
      </c>
      <c r="H2" s="17">
        <v>1.0</v>
      </c>
      <c r="I2" s="17">
        <f t="array" ref="I2">XLOOKUP(RECUO!$A2,MACROZONAS!B:B,MACROZONAS!A:A)</f>
        <v>1</v>
      </c>
      <c r="J2" s="17">
        <f t="array" ref="J2">XLOOKUP(RECUO!$B2,SETORES!B:B,SETORES!A:A)</f>
        <v>1</v>
      </c>
    </row>
    <row r="3" ht="14.25" customHeight="1">
      <c r="A3" s="17" t="s">
        <v>28</v>
      </c>
      <c r="B3" s="17" t="s">
        <v>12</v>
      </c>
      <c r="C3" s="16">
        <v>5.0</v>
      </c>
      <c r="D3" s="17">
        <v>7.0</v>
      </c>
      <c r="E3" s="25">
        <v>10.0</v>
      </c>
      <c r="F3" s="17"/>
      <c r="G3" s="17" t="s">
        <v>130</v>
      </c>
      <c r="H3" s="17">
        <v>2.0</v>
      </c>
      <c r="I3" s="17">
        <f t="array" ref="I3">XLOOKUP(RECUO!$A3,MACROZONAS!B:B,MACROZONAS!A:A)</f>
        <v>2</v>
      </c>
      <c r="J3" s="17">
        <f t="array" ref="J3">XLOOKUP(RECUO!$B3,SETORES!B:B,SETORES!A:A)</f>
        <v>1</v>
      </c>
    </row>
    <row r="4" ht="14.25" customHeight="1">
      <c r="A4" s="17" t="s">
        <v>42</v>
      </c>
      <c r="B4" s="17" t="s">
        <v>12</v>
      </c>
      <c r="C4" s="16">
        <v>5.0</v>
      </c>
      <c r="D4" s="17">
        <v>7.0</v>
      </c>
      <c r="E4" s="25">
        <v>10.0</v>
      </c>
      <c r="F4" s="17"/>
      <c r="G4" s="17" t="s">
        <v>130</v>
      </c>
      <c r="H4" s="17">
        <v>3.0</v>
      </c>
      <c r="I4" s="17">
        <f t="array" ref="I4">XLOOKUP(RECUO!$A4,MACROZONAS!B:B,MACROZONAS!A:A)</f>
        <v>3</v>
      </c>
      <c r="J4" s="17">
        <f t="array" ref="J4">XLOOKUP(RECUO!$B4,SETORES!B:B,SETORES!A:A)</f>
        <v>1</v>
      </c>
    </row>
    <row r="5" ht="14.25" customHeight="1">
      <c r="A5" s="17" t="s">
        <v>18</v>
      </c>
      <c r="B5" s="17" t="s">
        <v>12</v>
      </c>
      <c r="C5" s="16">
        <v>5.0</v>
      </c>
      <c r="D5" s="17">
        <v>7.0</v>
      </c>
      <c r="E5" s="25">
        <v>10.0</v>
      </c>
      <c r="F5" s="17"/>
      <c r="G5" s="17" t="s">
        <v>130</v>
      </c>
      <c r="H5" s="17">
        <v>4.0</v>
      </c>
      <c r="I5" s="17">
        <f t="array" ref="I5">XLOOKUP(RECUO!$A5,MACROZONAS!B:B,MACROZONAS!A:A)</f>
        <v>4</v>
      </c>
      <c r="J5" s="17">
        <f t="array" ref="J5">XLOOKUP(RECUO!$B5,SETORES!B:B,SETORES!A:A)</f>
        <v>1</v>
      </c>
    </row>
    <row r="6" ht="14.25" customHeight="1">
      <c r="A6" s="17" t="s">
        <v>39</v>
      </c>
      <c r="B6" s="17" t="s">
        <v>12</v>
      </c>
      <c r="C6" s="16">
        <v>10.0</v>
      </c>
      <c r="D6" s="17"/>
      <c r="E6" s="25">
        <v>10.0</v>
      </c>
      <c r="F6" s="17"/>
      <c r="G6" s="17" t="s">
        <v>130</v>
      </c>
      <c r="H6" s="17">
        <v>5.0</v>
      </c>
      <c r="I6" s="17">
        <f t="array" ref="I6">XLOOKUP(RECUO!$A6,MACROZONAS!B:B,MACROZONAS!A:A)</f>
        <v>5</v>
      </c>
      <c r="J6" s="17">
        <f t="array" ref="J6">XLOOKUP(RECUO!$B6,SETORES!B:B,SETORES!A:A)</f>
        <v>1</v>
      </c>
    </row>
    <row r="7" ht="14.25" customHeight="1">
      <c r="A7" s="17" t="s">
        <v>29</v>
      </c>
      <c r="B7" s="17" t="s">
        <v>12</v>
      </c>
      <c r="C7" s="16">
        <v>10.0</v>
      </c>
      <c r="D7" s="17"/>
      <c r="E7" s="25">
        <v>10.0</v>
      </c>
      <c r="F7" s="17"/>
      <c r="G7" s="17" t="s">
        <v>130</v>
      </c>
      <c r="H7" s="17">
        <v>6.0</v>
      </c>
      <c r="I7" s="17">
        <f t="array" ref="I7">XLOOKUP(RECUO!$A7,MACROZONAS!B:B,MACROZONAS!A:A)</f>
        <v>6</v>
      </c>
      <c r="J7" s="17">
        <f t="array" ref="J7">XLOOKUP(RECUO!$B7,SETORES!B:B,SETORES!A:A)</f>
        <v>1</v>
      </c>
    </row>
    <row r="8" ht="14.25" customHeight="1">
      <c r="A8" s="17" t="s">
        <v>43</v>
      </c>
      <c r="B8" s="17" t="s">
        <v>12</v>
      </c>
      <c r="C8" s="16">
        <v>10.0</v>
      </c>
      <c r="D8" s="17"/>
      <c r="E8" s="25">
        <v>10.0</v>
      </c>
      <c r="F8" s="17"/>
      <c r="G8" s="17" t="s">
        <v>130</v>
      </c>
      <c r="H8" s="17">
        <v>7.0</v>
      </c>
      <c r="I8" s="17">
        <f t="array" ref="I8">XLOOKUP(RECUO!$A8,MACROZONAS!B:B,MACROZONAS!A:A)</f>
        <v>7</v>
      </c>
      <c r="J8" s="17">
        <f t="array" ref="J8">XLOOKUP(RECUO!$B8,SETORES!B:B,SETORES!A:A)</f>
        <v>1</v>
      </c>
    </row>
    <row r="9" ht="14.25" customHeight="1">
      <c r="A9" s="17" t="s">
        <v>33</v>
      </c>
      <c r="B9" s="17" t="s">
        <v>34</v>
      </c>
      <c r="C9" s="16">
        <v>5.0</v>
      </c>
      <c r="D9" s="17">
        <v>7.0</v>
      </c>
      <c r="E9" s="25">
        <v>10.0</v>
      </c>
      <c r="F9" s="17"/>
      <c r="G9" s="17" t="s">
        <v>130</v>
      </c>
      <c r="H9" s="17">
        <v>8.0</v>
      </c>
      <c r="I9" s="17">
        <f t="array" ref="I9">XLOOKUP(RECUO!$A9,MACROZONAS!B:B,MACROZONAS!A:A)</f>
        <v>1</v>
      </c>
      <c r="J9" s="17">
        <f t="array" ref="J9">XLOOKUP(RECUO!$B9,SETORES!B:B,SETORES!A:A)</f>
        <v>2</v>
      </c>
    </row>
    <row r="10" ht="14.25" customHeight="1">
      <c r="A10" s="17" t="s">
        <v>28</v>
      </c>
      <c r="B10" s="17" t="s">
        <v>34</v>
      </c>
      <c r="C10" s="16">
        <v>5.0</v>
      </c>
      <c r="D10" s="17">
        <v>7.0</v>
      </c>
      <c r="E10" s="25">
        <v>10.0</v>
      </c>
      <c r="F10" s="17"/>
      <c r="G10" s="17" t="s">
        <v>130</v>
      </c>
      <c r="H10" s="17">
        <v>9.0</v>
      </c>
      <c r="I10" s="17">
        <f t="array" ref="I10">XLOOKUP(RECUO!$A10,MACROZONAS!B:B,MACROZONAS!A:A)</f>
        <v>2</v>
      </c>
      <c r="J10" s="17">
        <f t="array" ref="J10">XLOOKUP(RECUO!$B10,SETORES!B:B,SETORES!A:A)</f>
        <v>2</v>
      </c>
    </row>
    <row r="11" ht="14.25" customHeight="1">
      <c r="A11" s="17" t="s">
        <v>42</v>
      </c>
      <c r="B11" s="17" t="s">
        <v>34</v>
      </c>
      <c r="C11" s="16">
        <v>5.0</v>
      </c>
      <c r="D11" s="17">
        <v>7.0</v>
      </c>
      <c r="E11" s="25">
        <v>10.0</v>
      </c>
      <c r="F11" s="17"/>
      <c r="G11" s="17" t="s">
        <v>130</v>
      </c>
      <c r="H11" s="17">
        <v>10.0</v>
      </c>
      <c r="I11" s="17">
        <f t="array" ref="I11">XLOOKUP(RECUO!$A11,MACROZONAS!B:B,MACROZONAS!A:A)</f>
        <v>3</v>
      </c>
      <c r="J11" s="17">
        <f t="array" ref="J11">XLOOKUP(RECUO!$B11,SETORES!B:B,SETORES!A:A)</f>
        <v>2</v>
      </c>
    </row>
    <row r="12" ht="14.25" customHeight="1">
      <c r="A12" s="17" t="s">
        <v>18</v>
      </c>
      <c r="B12" s="17" t="s">
        <v>34</v>
      </c>
      <c r="C12" s="16">
        <v>5.0</v>
      </c>
      <c r="D12" s="17">
        <v>7.0</v>
      </c>
      <c r="E12" s="25">
        <v>10.0</v>
      </c>
      <c r="F12" s="17"/>
      <c r="G12" s="17" t="s">
        <v>130</v>
      </c>
      <c r="H12" s="17">
        <v>11.0</v>
      </c>
      <c r="I12" s="17">
        <f t="array" ref="I12">XLOOKUP(RECUO!$A12,MACROZONAS!B:B,MACROZONAS!A:A)</f>
        <v>4</v>
      </c>
      <c r="J12" s="17">
        <f t="array" ref="J12">XLOOKUP(RECUO!$B12,SETORES!B:B,SETORES!A:A)</f>
        <v>2</v>
      </c>
    </row>
    <row r="13" ht="14.25" customHeight="1">
      <c r="A13" s="17" t="s">
        <v>39</v>
      </c>
      <c r="B13" s="17" t="s">
        <v>34</v>
      </c>
      <c r="C13" s="16">
        <v>10.0</v>
      </c>
      <c r="D13" s="17"/>
      <c r="E13" s="25">
        <v>10.0</v>
      </c>
      <c r="F13" s="17"/>
      <c r="G13" s="17" t="s">
        <v>130</v>
      </c>
      <c r="H13" s="17">
        <v>12.0</v>
      </c>
      <c r="I13" s="17">
        <f t="array" ref="I13">XLOOKUP(RECUO!$A13,MACROZONAS!B:B,MACROZONAS!A:A)</f>
        <v>5</v>
      </c>
      <c r="J13" s="17">
        <f t="array" ref="J13">XLOOKUP(RECUO!$B13,SETORES!B:B,SETORES!A:A)</f>
        <v>2</v>
      </c>
    </row>
    <row r="14" ht="14.25" customHeight="1">
      <c r="A14" s="17" t="s">
        <v>29</v>
      </c>
      <c r="B14" s="17" t="s">
        <v>34</v>
      </c>
      <c r="C14" s="16">
        <v>10.0</v>
      </c>
      <c r="D14" s="17"/>
      <c r="E14" s="25">
        <v>10.0</v>
      </c>
      <c r="F14" s="17"/>
      <c r="G14" s="17" t="s">
        <v>130</v>
      </c>
      <c r="H14" s="17">
        <v>13.0</v>
      </c>
      <c r="I14" s="17">
        <f t="array" ref="I14">XLOOKUP(RECUO!$A14,MACROZONAS!B:B,MACROZONAS!A:A)</f>
        <v>6</v>
      </c>
      <c r="J14" s="17">
        <f t="array" ref="J14">XLOOKUP(RECUO!$B14,SETORES!B:B,SETORES!A:A)</f>
        <v>2</v>
      </c>
    </row>
    <row r="15" ht="14.25" customHeight="1">
      <c r="A15" s="17" t="s">
        <v>43</v>
      </c>
      <c r="B15" s="17" t="s">
        <v>34</v>
      </c>
      <c r="C15" s="16">
        <v>10.0</v>
      </c>
      <c r="D15" s="17"/>
      <c r="E15" s="25">
        <v>10.0</v>
      </c>
      <c r="F15" s="17"/>
      <c r="G15" s="17" t="s">
        <v>130</v>
      </c>
      <c r="H15" s="17">
        <v>14.0</v>
      </c>
      <c r="I15" s="17">
        <f t="array" ref="I15">XLOOKUP(RECUO!$A15,MACROZONAS!B:B,MACROZONAS!A:A)</f>
        <v>7</v>
      </c>
      <c r="J15" s="17">
        <f t="array" ref="J15">XLOOKUP(RECUO!$B15,SETORES!B:B,SETORES!A:A)</f>
        <v>2</v>
      </c>
    </row>
    <row r="16" ht="14.25" customHeight="1">
      <c r="A16" s="17" t="s">
        <v>33</v>
      </c>
      <c r="B16" s="17" t="s">
        <v>41</v>
      </c>
      <c r="C16" s="16">
        <v>5.0</v>
      </c>
      <c r="D16" s="17">
        <v>7.0</v>
      </c>
      <c r="E16" s="25">
        <v>10.0</v>
      </c>
      <c r="F16" s="17"/>
      <c r="G16" s="17" t="s">
        <v>130</v>
      </c>
      <c r="H16" s="17">
        <v>15.0</v>
      </c>
      <c r="I16" s="17">
        <f t="array" ref="I16">XLOOKUP(RECUO!$A16,MACROZONAS!B:B,MACROZONAS!A:A)</f>
        <v>1</v>
      </c>
      <c r="J16" s="17">
        <f t="array" ref="J16">XLOOKUP(RECUO!$B16,SETORES!B:B,SETORES!A:A)</f>
        <v>3</v>
      </c>
    </row>
    <row r="17" ht="14.25" customHeight="1">
      <c r="A17" s="17" t="s">
        <v>28</v>
      </c>
      <c r="B17" s="17" t="s">
        <v>41</v>
      </c>
      <c r="C17" s="16">
        <v>5.0</v>
      </c>
      <c r="D17" s="17">
        <v>7.0</v>
      </c>
      <c r="E17" s="25">
        <v>10.0</v>
      </c>
      <c r="F17" s="17"/>
      <c r="G17" s="17" t="s">
        <v>130</v>
      </c>
      <c r="H17" s="17">
        <v>16.0</v>
      </c>
      <c r="I17" s="17">
        <f t="array" ref="I17">XLOOKUP(RECUO!$A17,MACROZONAS!B:B,MACROZONAS!A:A)</f>
        <v>2</v>
      </c>
      <c r="J17" s="17">
        <f t="array" ref="J17">XLOOKUP(RECUO!$B17,SETORES!B:B,SETORES!A:A)</f>
        <v>3</v>
      </c>
    </row>
    <row r="18" ht="14.25" customHeight="1">
      <c r="A18" s="17" t="s">
        <v>42</v>
      </c>
      <c r="B18" s="17" t="s">
        <v>41</v>
      </c>
      <c r="C18" s="16">
        <v>5.0</v>
      </c>
      <c r="D18" s="17">
        <v>7.0</v>
      </c>
      <c r="E18" s="25">
        <v>10.0</v>
      </c>
      <c r="F18" s="17"/>
      <c r="G18" s="17" t="s">
        <v>130</v>
      </c>
      <c r="H18" s="17">
        <v>17.0</v>
      </c>
      <c r="I18" s="17">
        <f t="array" ref="I18">XLOOKUP(RECUO!$A18,MACROZONAS!B:B,MACROZONAS!A:A)</f>
        <v>3</v>
      </c>
      <c r="J18" s="17">
        <f t="array" ref="J18">XLOOKUP(RECUO!$B18,SETORES!B:B,SETORES!A:A)</f>
        <v>3</v>
      </c>
    </row>
    <row r="19" ht="14.25" customHeight="1">
      <c r="A19" s="17" t="s">
        <v>18</v>
      </c>
      <c r="B19" s="17" t="s">
        <v>41</v>
      </c>
      <c r="C19" s="16">
        <v>5.0</v>
      </c>
      <c r="D19" s="17">
        <v>7.0</v>
      </c>
      <c r="E19" s="25">
        <v>10.0</v>
      </c>
      <c r="F19" s="17"/>
      <c r="G19" s="17" t="s">
        <v>130</v>
      </c>
      <c r="H19" s="17">
        <v>18.0</v>
      </c>
      <c r="I19" s="17">
        <f t="array" ref="I19">XLOOKUP(RECUO!$A19,MACROZONAS!B:B,MACROZONAS!A:A)</f>
        <v>4</v>
      </c>
      <c r="J19" s="17">
        <f t="array" ref="J19">XLOOKUP(RECUO!$B19,SETORES!B:B,SETORES!A:A)</f>
        <v>3</v>
      </c>
    </row>
    <row r="20" ht="14.25" customHeight="1">
      <c r="A20" s="17" t="s">
        <v>39</v>
      </c>
      <c r="B20" s="17" t="s">
        <v>41</v>
      </c>
      <c r="C20" s="16">
        <v>10.0</v>
      </c>
      <c r="D20" s="17"/>
      <c r="E20" s="25">
        <v>10.0</v>
      </c>
      <c r="F20" s="17"/>
      <c r="G20" s="17" t="s">
        <v>130</v>
      </c>
      <c r="H20" s="17">
        <v>19.0</v>
      </c>
      <c r="I20" s="17">
        <f t="array" ref="I20">XLOOKUP(RECUO!$A20,MACROZONAS!B:B,MACROZONAS!A:A)</f>
        <v>5</v>
      </c>
      <c r="J20" s="17">
        <f t="array" ref="J20">XLOOKUP(RECUO!$B20,SETORES!B:B,SETORES!A:A)</f>
        <v>3</v>
      </c>
    </row>
    <row r="21" ht="14.25" customHeight="1">
      <c r="A21" s="17" t="s">
        <v>29</v>
      </c>
      <c r="B21" s="17" t="s">
        <v>41</v>
      </c>
      <c r="C21" s="16">
        <v>10.0</v>
      </c>
      <c r="D21" s="17"/>
      <c r="E21" s="25">
        <v>10.0</v>
      </c>
      <c r="F21" s="17"/>
      <c r="G21" s="17" t="s">
        <v>130</v>
      </c>
      <c r="H21" s="17">
        <v>20.0</v>
      </c>
      <c r="I21" s="17">
        <f t="array" ref="I21">XLOOKUP(RECUO!$A21,MACROZONAS!B:B,MACROZONAS!A:A)</f>
        <v>6</v>
      </c>
      <c r="J21" s="17">
        <f t="array" ref="J21">XLOOKUP(RECUO!$B21,SETORES!B:B,SETORES!A:A)</f>
        <v>3</v>
      </c>
    </row>
    <row r="22" ht="14.25" customHeight="1">
      <c r="A22" s="17" t="s">
        <v>43</v>
      </c>
      <c r="B22" s="17" t="s">
        <v>41</v>
      </c>
      <c r="C22" s="16">
        <v>10.0</v>
      </c>
      <c r="D22" s="17"/>
      <c r="E22" s="25">
        <v>10.0</v>
      </c>
      <c r="F22" s="17"/>
      <c r="G22" s="17" t="s">
        <v>130</v>
      </c>
      <c r="H22" s="17">
        <v>21.0</v>
      </c>
      <c r="I22" s="17">
        <f t="array" ref="I22">XLOOKUP(RECUO!$A22,MACROZONAS!B:B,MACROZONAS!A:A)</f>
        <v>7</v>
      </c>
      <c r="J22" s="17">
        <f t="array" ref="J22">XLOOKUP(RECUO!$B22,SETORES!B:B,SETORES!A:A)</f>
        <v>3</v>
      </c>
    </row>
    <row r="23" ht="14.25" customHeight="1">
      <c r="A23" s="17" t="s">
        <v>33</v>
      </c>
      <c r="B23" s="17" t="s">
        <v>25</v>
      </c>
      <c r="C23" s="16">
        <v>5.0</v>
      </c>
      <c r="D23" s="17">
        <v>7.0</v>
      </c>
      <c r="E23" s="25">
        <v>10.0</v>
      </c>
      <c r="F23" s="17"/>
      <c r="G23" s="17" t="s">
        <v>130</v>
      </c>
      <c r="H23" s="17">
        <v>22.0</v>
      </c>
      <c r="I23" s="17">
        <f t="array" ref="I23">XLOOKUP(RECUO!$A23,MACROZONAS!B:B,MACROZONAS!A:A)</f>
        <v>1</v>
      </c>
      <c r="J23" s="17">
        <f t="array" ref="J23">XLOOKUP(RECUO!$B23,SETORES!B:B,SETORES!A:A)</f>
        <v>4</v>
      </c>
    </row>
    <row r="24" ht="14.25" customHeight="1">
      <c r="A24" s="17" t="s">
        <v>28</v>
      </c>
      <c r="B24" s="17" t="s">
        <v>25</v>
      </c>
      <c r="C24" s="16">
        <v>5.0</v>
      </c>
      <c r="D24" s="17">
        <v>7.0</v>
      </c>
      <c r="E24" s="25">
        <v>10.0</v>
      </c>
      <c r="F24" s="17"/>
      <c r="G24" s="17" t="s">
        <v>130</v>
      </c>
      <c r="H24" s="17">
        <v>23.0</v>
      </c>
      <c r="I24" s="17">
        <f t="array" ref="I24">XLOOKUP(RECUO!$A24,MACROZONAS!B:B,MACROZONAS!A:A)</f>
        <v>2</v>
      </c>
      <c r="J24" s="17">
        <f t="array" ref="J24">XLOOKUP(RECUO!$B24,SETORES!B:B,SETORES!A:A)</f>
        <v>4</v>
      </c>
    </row>
    <row r="25" ht="14.25" customHeight="1">
      <c r="A25" s="17" t="s">
        <v>42</v>
      </c>
      <c r="B25" s="17" t="s">
        <v>25</v>
      </c>
      <c r="C25" s="16">
        <v>5.0</v>
      </c>
      <c r="D25" s="17">
        <v>7.0</v>
      </c>
      <c r="E25" s="25">
        <v>10.0</v>
      </c>
      <c r="F25" s="17"/>
      <c r="G25" s="17" t="s">
        <v>130</v>
      </c>
      <c r="H25" s="17">
        <v>24.0</v>
      </c>
      <c r="I25" s="17">
        <f t="array" ref="I25">XLOOKUP(RECUO!$A25,MACROZONAS!B:B,MACROZONAS!A:A)</f>
        <v>3</v>
      </c>
      <c r="J25" s="17">
        <f t="array" ref="J25">XLOOKUP(RECUO!$B25,SETORES!B:B,SETORES!A:A)</f>
        <v>4</v>
      </c>
    </row>
    <row r="26" ht="14.25" customHeight="1">
      <c r="A26" s="17" t="s">
        <v>18</v>
      </c>
      <c r="B26" s="17" t="s">
        <v>25</v>
      </c>
      <c r="C26" s="16">
        <v>5.0</v>
      </c>
      <c r="D26" s="17">
        <v>7.0</v>
      </c>
      <c r="E26" s="25">
        <v>10.0</v>
      </c>
      <c r="F26" s="17"/>
      <c r="G26" s="17" t="s">
        <v>130</v>
      </c>
      <c r="H26" s="17">
        <v>25.0</v>
      </c>
      <c r="I26" s="17">
        <f t="array" ref="I26">XLOOKUP(RECUO!$A26,MACROZONAS!B:B,MACROZONAS!A:A)</f>
        <v>4</v>
      </c>
      <c r="J26" s="17">
        <f t="array" ref="J26">XLOOKUP(RECUO!$B26,SETORES!B:B,SETORES!A:A)</f>
        <v>4</v>
      </c>
    </row>
    <row r="27" ht="14.25" customHeight="1">
      <c r="A27" s="17" t="s">
        <v>39</v>
      </c>
      <c r="B27" s="17" t="s">
        <v>25</v>
      </c>
      <c r="C27" s="16">
        <v>10.0</v>
      </c>
      <c r="D27" s="25"/>
      <c r="E27" s="25">
        <v>10.0</v>
      </c>
      <c r="F27" s="25"/>
      <c r="G27" s="17" t="s">
        <v>130</v>
      </c>
      <c r="H27" s="17">
        <v>26.0</v>
      </c>
      <c r="I27" s="17">
        <f t="array" ref="I27">XLOOKUP(RECUO!$A27,MACROZONAS!B:B,MACROZONAS!A:A)</f>
        <v>5</v>
      </c>
      <c r="J27" s="17">
        <f t="array" ref="J27">XLOOKUP(RECUO!$B27,SETORES!B:B,SETORES!A:A)</f>
        <v>4</v>
      </c>
    </row>
    <row r="28" ht="14.25" customHeight="1">
      <c r="A28" s="17" t="s">
        <v>29</v>
      </c>
      <c r="B28" s="17" t="s">
        <v>25</v>
      </c>
      <c r="C28" s="16">
        <v>10.0</v>
      </c>
      <c r="D28" s="17"/>
      <c r="E28" s="25">
        <v>10.0</v>
      </c>
      <c r="F28" s="17"/>
      <c r="G28" s="17" t="s">
        <v>130</v>
      </c>
      <c r="H28" s="17">
        <v>27.0</v>
      </c>
      <c r="I28" s="17">
        <f t="array" ref="I28">XLOOKUP(RECUO!$A28,MACROZONAS!B:B,MACROZONAS!A:A)</f>
        <v>6</v>
      </c>
      <c r="J28" s="17">
        <f t="array" ref="J28">XLOOKUP(RECUO!$B28,SETORES!B:B,SETORES!A:A)</f>
        <v>4</v>
      </c>
    </row>
    <row r="29" ht="14.25" customHeight="1">
      <c r="A29" s="17" t="s">
        <v>43</v>
      </c>
      <c r="B29" s="17" t="s">
        <v>25</v>
      </c>
      <c r="C29" s="16">
        <v>10.0</v>
      </c>
      <c r="D29" s="17"/>
      <c r="E29" s="25">
        <v>10.0</v>
      </c>
      <c r="F29" s="17"/>
      <c r="G29" s="17" t="s">
        <v>130</v>
      </c>
      <c r="H29" s="17">
        <v>28.0</v>
      </c>
      <c r="I29" s="17">
        <f t="array" ref="I29">XLOOKUP(RECUO!$A29,MACROZONAS!B:B,MACROZONAS!A:A)</f>
        <v>7</v>
      </c>
      <c r="J29" s="17">
        <f t="array" ref="J29">XLOOKUP(RECUO!$B29,SETORES!B:B,SETORES!A:A)</f>
        <v>4</v>
      </c>
    </row>
    <row r="30" ht="14.25" customHeight="1">
      <c r="A30" s="17" t="s">
        <v>33</v>
      </c>
      <c r="B30" s="17" t="s">
        <v>17</v>
      </c>
      <c r="C30" s="16">
        <v>5.0</v>
      </c>
      <c r="D30" s="17">
        <v>7.0</v>
      </c>
      <c r="E30" s="25">
        <v>10.0</v>
      </c>
      <c r="F30" s="17"/>
      <c r="G30" s="17" t="s">
        <v>130</v>
      </c>
      <c r="H30" s="17">
        <v>29.0</v>
      </c>
      <c r="I30" s="17">
        <f t="array" ref="I30">XLOOKUP(RECUO!$A30,MACROZONAS!B:B,MACROZONAS!A:A)</f>
        <v>1</v>
      </c>
      <c r="J30" s="17">
        <f t="array" ref="J30">XLOOKUP(RECUO!$B30,SETORES!B:B,SETORES!A:A)</f>
        <v>5</v>
      </c>
    </row>
    <row r="31" ht="14.25" customHeight="1">
      <c r="A31" s="17" t="s">
        <v>28</v>
      </c>
      <c r="B31" s="17" t="s">
        <v>17</v>
      </c>
      <c r="C31" s="16">
        <v>5.0</v>
      </c>
      <c r="D31" s="17">
        <v>7.0</v>
      </c>
      <c r="E31" s="25">
        <v>10.0</v>
      </c>
      <c r="F31" s="17"/>
      <c r="G31" s="17" t="s">
        <v>130</v>
      </c>
      <c r="H31" s="17">
        <v>30.0</v>
      </c>
      <c r="I31" s="17">
        <f t="array" ref="I31">XLOOKUP(RECUO!$A31,MACROZONAS!B:B,MACROZONAS!A:A)</f>
        <v>2</v>
      </c>
      <c r="J31" s="17">
        <f t="array" ref="J31">XLOOKUP(RECUO!$B31,SETORES!B:B,SETORES!A:A)</f>
        <v>5</v>
      </c>
    </row>
    <row r="32" ht="14.25" customHeight="1">
      <c r="A32" s="17" t="s">
        <v>42</v>
      </c>
      <c r="B32" s="17" t="s">
        <v>17</v>
      </c>
      <c r="C32" s="16">
        <v>5.0</v>
      </c>
      <c r="D32" s="17">
        <v>7.0</v>
      </c>
      <c r="E32" s="25">
        <v>10.0</v>
      </c>
      <c r="F32" s="17"/>
      <c r="G32" s="17" t="s">
        <v>130</v>
      </c>
      <c r="H32" s="17">
        <v>31.0</v>
      </c>
      <c r="I32" s="17">
        <f t="array" ref="I32">XLOOKUP(RECUO!$A32,MACROZONAS!B:B,MACROZONAS!A:A)</f>
        <v>3</v>
      </c>
      <c r="J32" s="17">
        <f t="array" ref="J32">XLOOKUP(RECUO!$B32,SETORES!B:B,SETORES!A:A)</f>
        <v>5</v>
      </c>
    </row>
    <row r="33" ht="14.25" customHeight="1">
      <c r="A33" s="17" t="s">
        <v>18</v>
      </c>
      <c r="B33" s="17" t="s">
        <v>17</v>
      </c>
      <c r="C33" s="16">
        <v>5.0</v>
      </c>
      <c r="D33" s="17">
        <v>7.0</v>
      </c>
      <c r="E33" s="25">
        <v>10.0</v>
      </c>
      <c r="F33" s="17"/>
      <c r="G33" s="17" t="s">
        <v>130</v>
      </c>
      <c r="H33" s="17">
        <v>32.0</v>
      </c>
      <c r="I33" s="17">
        <f t="array" ref="I33">XLOOKUP(RECUO!$A33,MACROZONAS!B:B,MACROZONAS!A:A)</f>
        <v>4</v>
      </c>
      <c r="J33" s="17">
        <f t="array" ref="J33">XLOOKUP(RECUO!$B33,SETORES!B:B,SETORES!A:A)</f>
        <v>5</v>
      </c>
    </row>
    <row r="34" ht="14.25" customHeight="1">
      <c r="A34" s="17" t="s">
        <v>39</v>
      </c>
      <c r="B34" s="17" t="s">
        <v>17</v>
      </c>
      <c r="C34" s="16">
        <v>10.0</v>
      </c>
      <c r="D34" s="17"/>
      <c r="E34" s="25">
        <v>10.0</v>
      </c>
      <c r="F34" s="17"/>
      <c r="G34" s="17" t="s">
        <v>130</v>
      </c>
      <c r="H34" s="17">
        <v>33.0</v>
      </c>
      <c r="I34" s="17">
        <f t="array" ref="I34">XLOOKUP(RECUO!$A34,MACROZONAS!B:B,MACROZONAS!A:A)</f>
        <v>5</v>
      </c>
      <c r="J34" s="17">
        <f t="array" ref="J34">XLOOKUP(RECUO!$B34,SETORES!B:B,SETORES!A:A)</f>
        <v>5</v>
      </c>
    </row>
    <row r="35" ht="14.25" customHeight="1">
      <c r="A35" s="17" t="s">
        <v>29</v>
      </c>
      <c r="B35" s="17" t="s">
        <v>17</v>
      </c>
      <c r="C35" s="16">
        <v>10.0</v>
      </c>
      <c r="D35" s="17"/>
      <c r="E35" s="25">
        <v>10.0</v>
      </c>
      <c r="F35" s="17"/>
      <c r="G35" s="17" t="s">
        <v>130</v>
      </c>
      <c r="H35" s="17">
        <v>34.0</v>
      </c>
      <c r="I35" s="17">
        <f t="array" ref="I35">XLOOKUP(RECUO!$A35,MACROZONAS!B:B,MACROZONAS!A:A)</f>
        <v>6</v>
      </c>
      <c r="J35" s="17">
        <f t="array" ref="J35">XLOOKUP(RECUO!$B35,SETORES!B:B,SETORES!A:A)</f>
        <v>5</v>
      </c>
    </row>
    <row r="36" ht="14.25" customHeight="1">
      <c r="A36" s="17" t="s">
        <v>43</v>
      </c>
      <c r="B36" s="17" t="s">
        <v>17</v>
      </c>
      <c r="C36" s="16">
        <v>10.0</v>
      </c>
      <c r="D36" s="17"/>
      <c r="E36" s="25">
        <v>10.0</v>
      </c>
      <c r="F36" s="17"/>
      <c r="G36" s="17" t="s">
        <v>130</v>
      </c>
      <c r="H36" s="17">
        <v>35.0</v>
      </c>
      <c r="I36" s="17">
        <f t="array" ref="I36">XLOOKUP(RECUO!$A36,MACROZONAS!B:B,MACROZONAS!A:A)</f>
        <v>7</v>
      </c>
      <c r="J36" s="17">
        <f t="array" ref="J36">XLOOKUP(RECUO!$B36,SETORES!B:B,SETORES!A:A)</f>
        <v>5</v>
      </c>
    </row>
    <row r="37" ht="14.25" customHeight="1">
      <c r="A37" s="17" t="s">
        <v>33</v>
      </c>
      <c r="B37" s="17" t="s">
        <v>121</v>
      </c>
      <c r="C37" s="16">
        <v>5.0</v>
      </c>
      <c r="D37" s="17">
        <v>7.0</v>
      </c>
      <c r="E37" s="25">
        <v>10.0</v>
      </c>
      <c r="F37" s="17"/>
      <c r="G37" s="17" t="s">
        <v>130</v>
      </c>
      <c r="H37" s="17">
        <v>36.0</v>
      </c>
      <c r="I37" s="17">
        <f t="array" ref="I37">XLOOKUP(RECUO!$A37,MACROZONAS!B:B,MACROZONAS!A:A)</f>
        <v>1</v>
      </c>
      <c r="J37" s="17">
        <f t="array" ref="J37">XLOOKUP(RECUO!$B37,SETORES!B:B,SETORES!A:A)</f>
        <v>6</v>
      </c>
    </row>
    <row r="38" ht="14.25" customHeight="1">
      <c r="A38" s="17" t="s">
        <v>28</v>
      </c>
      <c r="B38" s="17" t="s">
        <v>121</v>
      </c>
      <c r="C38" s="16">
        <v>5.0</v>
      </c>
      <c r="D38" s="17">
        <v>7.0</v>
      </c>
      <c r="E38" s="25">
        <v>10.0</v>
      </c>
      <c r="F38" s="17"/>
      <c r="G38" s="17" t="s">
        <v>130</v>
      </c>
      <c r="H38" s="17">
        <v>37.0</v>
      </c>
      <c r="I38" s="17">
        <f t="array" ref="I38">XLOOKUP(RECUO!$A38,MACROZONAS!B:B,MACROZONAS!A:A)</f>
        <v>2</v>
      </c>
      <c r="J38" s="17">
        <f t="array" ref="J38">XLOOKUP(RECUO!$B38,SETORES!B:B,SETORES!A:A)</f>
        <v>6</v>
      </c>
    </row>
    <row r="39" ht="14.25" customHeight="1">
      <c r="A39" s="17" t="s">
        <v>42</v>
      </c>
      <c r="B39" s="17" t="s">
        <v>121</v>
      </c>
      <c r="C39" s="16">
        <v>5.0</v>
      </c>
      <c r="D39" s="17">
        <v>7.0</v>
      </c>
      <c r="E39" s="25">
        <v>10.0</v>
      </c>
      <c r="F39" s="17"/>
      <c r="G39" s="17" t="s">
        <v>130</v>
      </c>
      <c r="H39" s="17">
        <v>38.0</v>
      </c>
      <c r="I39" s="17">
        <f t="array" ref="I39">XLOOKUP(RECUO!$A39,MACROZONAS!B:B,MACROZONAS!A:A)</f>
        <v>3</v>
      </c>
      <c r="J39" s="17">
        <f t="array" ref="J39">XLOOKUP(RECUO!$B39,SETORES!B:B,SETORES!A:A)</f>
        <v>6</v>
      </c>
    </row>
    <row r="40" ht="14.25" customHeight="1">
      <c r="A40" s="17" t="s">
        <v>18</v>
      </c>
      <c r="B40" s="17" t="s">
        <v>121</v>
      </c>
      <c r="C40" s="16">
        <v>5.0</v>
      </c>
      <c r="D40" s="17">
        <v>7.0</v>
      </c>
      <c r="E40" s="25">
        <v>10.0</v>
      </c>
      <c r="F40" s="17"/>
      <c r="G40" s="17" t="s">
        <v>130</v>
      </c>
      <c r="H40" s="17">
        <v>39.0</v>
      </c>
      <c r="I40" s="17">
        <f t="array" ref="I40">XLOOKUP(RECUO!$A40,MACROZONAS!B:B,MACROZONAS!A:A)</f>
        <v>4</v>
      </c>
      <c r="J40" s="17">
        <f t="array" ref="J40">XLOOKUP(RECUO!$B40,SETORES!B:B,SETORES!A:A)</f>
        <v>6</v>
      </c>
    </row>
    <row r="41" ht="14.25" customHeight="1">
      <c r="A41" s="17" t="s">
        <v>39</v>
      </c>
      <c r="B41" s="17" t="s">
        <v>121</v>
      </c>
      <c r="C41" s="16">
        <v>10.0</v>
      </c>
      <c r="D41" s="17"/>
      <c r="E41" s="25">
        <v>10.0</v>
      </c>
      <c r="F41" s="17"/>
      <c r="G41" s="17" t="s">
        <v>130</v>
      </c>
      <c r="H41" s="17">
        <v>40.0</v>
      </c>
      <c r="I41" s="17">
        <f t="array" ref="I41">XLOOKUP(RECUO!$A41,MACROZONAS!B:B,MACROZONAS!A:A)</f>
        <v>5</v>
      </c>
      <c r="J41" s="17">
        <f t="array" ref="J41">XLOOKUP(RECUO!$B41,SETORES!B:B,SETORES!A:A)</f>
        <v>6</v>
      </c>
    </row>
    <row r="42" ht="14.25" customHeight="1">
      <c r="A42" s="17" t="s">
        <v>29</v>
      </c>
      <c r="B42" s="17" t="s">
        <v>121</v>
      </c>
      <c r="C42" s="16">
        <v>10.0</v>
      </c>
      <c r="D42" s="17"/>
      <c r="E42" s="25">
        <v>10.0</v>
      </c>
      <c r="F42" s="17"/>
      <c r="G42" s="17" t="s">
        <v>130</v>
      </c>
      <c r="H42" s="17">
        <v>41.0</v>
      </c>
      <c r="I42" s="17">
        <f t="array" ref="I42">XLOOKUP(RECUO!$A42,MACROZONAS!B:B,MACROZONAS!A:A)</f>
        <v>6</v>
      </c>
      <c r="J42" s="17">
        <f t="array" ref="J42">XLOOKUP(RECUO!$B42,SETORES!B:B,SETORES!A:A)</f>
        <v>6</v>
      </c>
    </row>
    <row r="43" ht="14.25" customHeight="1">
      <c r="A43" s="17" t="s">
        <v>43</v>
      </c>
      <c r="B43" s="17" t="s">
        <v>121</v>
      </c>
      <c r="C43" s="16">
        <v>10.0</v>
      </c>
      <c r="D43" s="17"/>
      <c r="E43" s="25">
        <v>10.0</v>
      </c>
      <c r="F43" s="17"/>
      <c r="G43" s="17" t="s">
        <v>130</v>
      </c>
      <c r="H43" s="17">
        <v>42.0</v>
      </c>
      <c r="I43" s="17">
        <f t="array" ref="I43">XLOOKUP(RECUO!$A43,MACROZONAS!B:B,MACROZONAS!A:A)</f>
        <v>7</v>
      </c>
      <c r="J43" s="17">
        <f t="array" ref="J43">XLOOKUP(RECUO!$B43,SETORES!B:B,SETORES!A:A)</f>
        <v>6</v>
      </c>
    </row>
    <row r="44" ht="14.25" customHeight="1">
      <c r="A44" s="17" t="s">
        <v>33</v>
      </c>
      <c r="B44" s="17" t="s">
        <v>37</v>
      </c>
      <c r="C44" s="16">
        <v>5.0</v>
      </c>
      <c r="D44" s="17">
        <v>7.0</v>
      </c>
      <c r="E44" s="25">
        <v>10.0</v>
      </c>
      <c r="F44" s="17"/>
      <c r="G44" s="17" t="s">
        <v>130</v>
      </c>
      <c r="H44" s="17">
        <v>43.0</v>
      </c>
      <c r="I44" s="17">
        <f t="array" ref="I44">XLOOKUP(RECUO!$A44,MACROZONAS!B:B,MACROZONAS!A:A)</f>
        <v>1</v>
      </c>
      <c r="J44" s="17">
        <f t="array" ref="J44">XLOOKUP(RECUO!$B44,SETORES!B:B,SETORES!A:A)</f>
        <v>7</v>
      </c>
    </row>
    <row r="45" ht="14.25" customHeight="1">
      <c r="A45" s="17" t="s">
        <v>28</v>
      </c>
      <c r="B45" s="17" t="s">
        <v>37</v>
      </c>
      <c r="C45" s="16">
        <v>5.0</v>
      </c>
      <c r="D45" s="17">
        <v>7.0</v>
      </c>
      <c r="E45" s="25">
        <v>10.0</v>
      </c>
      <c r="F45" s="17"/>
      <c r="G45" s="17" t="s">
        <v>130</v>
      </c>
      <c r="H45" s="17">
        <v>44.0</v>
      </c>
      <c r="I45" s="17">
        <f t="array" ref="I45">XLOOKUP(RECUO!$A45,MACROZONAS!B:B,MACROZONAS!A:A)</f>
        <v>2</v>
      </c>
      <c r="J45" s="17">
        <f t="array" ref="J45">XLOOKUP(RECUO!$B45,SETORES!B:B,SETORES!A:A)</f>
        <v>7</v>
      </c>
    </row>
    <row r="46" ht="14.25" customHeight="1">
      <c r="A46" s="17" t="s">
        <v>42</v>
      </c>
      <c r="B46" s="17" t="s">
        <v>37</v>
      </c>
      <c r="C46" s="16">
        <v>5.0</v>
      </c>
      <c r="D46" s="17">
        <v>7.0</v>
      </c>
      <c r="E46" s="25">
        <v>10.0</v>
      </c>
      <c r="F46" s="17"/>
      <c r="G46" s="17" t="s">
        <v>130</v>
      </c>
      <c r="H46" s="17">
        <v>45.0</v>
      </c>
      <c r="I46" s="17">
        <f t="array" ref="I46">XLOOKUP(RECUO!$A46,MACROZONAS!B:B,MACROZONAS!A:A)</f>
        <v>3</v>
      </c>
      <c r="J46" s="17">
        <f t="array" ref="J46">XLOOKUP(RECUO!$B46,SETORES!B:B,SETORES!A:A)</f>
        <v>7</v>
      </c>
    </row>
    <row r="47" ht="14.25" customHeight="1">
      <c r="A47" s="17" t="s">
        <v>18</v>
      </c>
      <c r="B47" s="17" t="s">
        <v>37</v>
      </c>
      <c r="C47" s="16">
        <v>5.0</v>
      </c>
      <c r="D47" s="17">
        <v>7.0</v>
      </c>
      <c r="E47" s="25">
        <v>10.0</v>
      </c>
      <c r="F47" s="17"/>
      <c r="G47" s="17" t="s">
        <v>130</v>
      </c>
      <c r="H47" s="17">
        <v>46.0</v>
      </c>
      <c r="I47" s="17">
        <f t="array" ref="I47">XLOOKUP(RECUO!$A47,MACROZONAS!B:B,MACROZONAS!A:A)</f>
        <v>4</v>
      </c>
      <c r="J47" s="17">
        <f t="array" ref="J47">XLOOKUP(RECUO!$B47,SETORES!B:B,SETORES!A:A)</f>
        <v>7</v>
      </c>
    </row>
    <row r="48" ht="14.25" customHeight="1">
      <c r="A48" s="17" t="s">
        <v>39</v>
      </c>
      <c r="B48" s="17" t="s">
        <v>37</v>
      </c>
      <c r="C48" s="16">
        <v>10.0</v>
      </c>
      <c r="D48" s="17"/>
      <c r="E48" s="25">
        <v>10.0</v>
      </c>
      <c r="F48" s="17"/>
      <c r="G48" s="17" t="s">
        <v>130</v>
      </c>
      <c r="H48" s="17">
        <v>47.0</v>
      </c>
      <c r="I48" s="17">
        <f t="array" ref="I48">XLOOKUP(RECUO!$A48,MACROZONAS!B:B,MACROZONAS!A:A)</f>
        <v>5</v>
      </c>
      <c r="J48" s="17">
        <f t="array" ref="J48">XLOOKUP(RECUO!$B48,SETORES!B:B,SETORES!A:A)</f>
        <v>7</v>
      </c>
    </row>
    <row r="49" ht="14.25" customHeight="1">
      <c r="A49" s="17" t="s">
        <v>29</v>
      </c>
      <c r="B49" s="17" t="s">
        <v>37</v>
      </c>
      <c r="C49" s="16">
        <v>10.0</v>
      </c>
      <c r="D49" s="17"/>
      <c r="E49" s="25">
        <v>10.0</v>
      </c>
      <c r="F49" s="17"/>
      <c r="G49" s="17" t="s">
        <v>130</v>
      </c>
      <c r="H49" s="17">
        <v>48.0</v>
      </c>
      <c r="I49" s="17">
        <f t="array" ref="I49">XLOOKUP(RECUO!$A49,MACROZONAS!B:B,MACROZONAS!A:A)</f>
        <v>6</v>
      </c>
      <c r="J49" s="17">
        <f t="array" ref="J49">XLOOKUP(RECUO!$B49,SETORES!B:B,SETORES!A:A)</f>
        <v>7</v>
      </c>
    </row>
    <row r="50" ht="14.25" customHeight="1">
      <c r="A50" s="17" t="s">
        <v>43</v>
      </c>
      <c r="B50" s="17" t="s">
        <v>37</v>
      </c>
      <c r="C50" s="16">
        <v>10.0</v>
      </c>
      <c r="D50" s="17"/>
      <c r="E50" s="25">
        <v>10.0</v>
      </c>
      <c r="F50" s="17"/>
      <c r="G50" s="17" t="s">
        <v>130</v>
      </c>
      <c r="H50" s="17">
        <v>49.0</v>
      </c>
      <c r="I50" s="17">
        <f t="array" ref="I50">XLOOKUP(RECUO!$A50,MACROZONAS!B:B,MACROZONAS!A:A)</f>
        <v>7</v>
      </c>
      <c r="J50" s="17">
        <f t="array" ref="J50">XLOOKUP(RECUO!$B50,SETORES!B:B,SETORES!A:A)</f>
        <v>7</v>
      </c>
    </row>
    <row r="51" ht="14.25" customHeight="1">
      <c r="A51" s="17" t="s">
        <v>33</v>
      </c>
      <c r="B51" s="17" t="s">
        <v>36</v>
      </c>
      <c r="C51" s="16">
        <v>5.0</v>
      </c>
      <c r="D51" s="17">
        <v>7.0</v>
      </c>
      <c r="E51" s="25">
        <v>10.0</v>
      </c>
      <c r="F51" s="17"/>
      <c r="G51" s="17" t="s">
        <v>130</v>
      </c>
      <c r="H51" s="17">
        <v>50.0</v>
      </c>
      <c r="I51" s="17">
        <f t="array" ref="I51">XLOOKUP(RECUO!$A51,MACROZONAS!B:B,MACROZONAS!A:A)</f>
        <v>1</v>
      </c>
      <c r="J51" s="17">
        <f t="array" ref="J51">XLOOKUP(RECUO!$B51,SETORES!B:B,SETORES!A:A)</f>
        <v>8</v>
      </c>
    </row>
    <row r="52" ht="14.25" customHeight="1">
      <c r="A52" s="17" t="s">
        <v>28</v>
      </c>
      <c r="B52" s="17" t="s">
        <v>36</v>
      </c>
      <c r="C52" s="16">
        <v>5.0</v>
      </c>
      <c r="D52" s="17">
        <v>7.0</v>
      </c>
      <c r="E52" s="25">
        <v>10.0</v>
      </c>
      <c r="F52" s="17"/>
      <c r="G52" s="17" t="s">
        <v>130</v>
      </c>
      <c r="H52" s="17">
        <v>51.0</v>
      </c>
      <c r="I52" s="17">
        <f t="array" ref="I52">XLOOKUP(RECUO!$A52,MACROZONAS!B:B,MACROZONAS!A:A)</f>
        <v>2</v>
      </c>
      <c r="J52" s="17">
        <f t="array" ref="J52">XLOOKUP(RECUO!$B52,SETORES!B:B,SETORES!A:A)</f>
        <v>8</v>
      </c>
    </row>
    <row r="53" ht="14.25" customHeight="1">
      <c r="A53" s="17" t="s">
        <v>42</v>
      </c>
      <c r="B53" s="17" t="s">
        <v>36</v>
      </c>
      <c r="C53" s="16">
        <v>5.0</v>
      </c>
      <c r="D53" s="17">
        <v>7.0</v>
      </c>
      <c r="E53" s="25">
        <v>10.0</v>
      </c>
      <c r="F53" s="17"/>
      <c r="G53" s="17" t="s">
        <v>130</v>
      </c>
      <c r="H53" s="17">
        <v>52.0</v>
      </c>
      <c r="I53" s="17">
        <f t="array" ref="I53">XLOOKUP(RECUO!$A53,MACROZONAS!B:B,MACROZONAS!A:A)</f>
        <v>3</v>
      </c>
      <c r="J53" s="17">
        <f t="array" ref="J53">XLOOKUP(RECUO!$B53,SETORES!B:B,SETORES!A:A)</f>
        <v>8</v>
      </c>
    </row>
    <row r="54" ht="14.25" customHeight="1">
      <c r="A54" s="17" t="s">
        <v>18</v>
      </c>
      <c r="B54" s="17" t="s">
        <v>36</v>
      </c>
      <c r="C54" s="16">
        <v>5.0</v>
      </c>
      <c r="D54" s="17">
        <v>7.0</v>
      </c>
      <c r="E54" s="25">
        <v>10.0</v>
      </c>
      <c r="F54" s="17"/>
      <c r="G54" s="17" t="s">
        <v>130</v>
      </c>
      <c r="H54" s="17">
        <v>53.0</v>
      </c>
      <c r="I54" s="17">
        <f t="array" ref="I54">XLOOKUP(RECUO!$A54,MACROZONAS!B:B,MACROZONAS!A:A)</f>
        <v>4</v>
      </c>
      <c r="J54" s="17">
        <f t="array" ref="J54">XLOOKUP(RECUO!$B54,SETORES!B:B,SETORES!A:A)</f>
        <v>8</v>
      </c>
    </row>
    <row r="55" ht="14.25" customHeight="1">
      <c r="A55" s="17" t="s">
        <v>39</v>
      </c>
      <c r="B55" s="17" t="s">
        <v>36</v>
      </c>
      <c r="C55" s="16">
        <v>10.0</v>
      </c>
      <c r="D55" s="17"/>
      <c r="E55" s="25">
        <v>10.0</v>
      </c>
      <c r="F55" s="17"/>
      <c r="G55" s="17" t="s">
        <v>130</v>
      </c>
      <c r="H55" s="17">
        <v>54.0</v>
      </c>
      <c r="I55" s="17">
        <f t="array" ref="I55">XLOOKUP(RECUO!$A55,MACROZONAS!B:B,MACROZONAS!A:A)</f>
        <v>5</v>
      </c>
      <c r="J55" s="17">
        <f t="array" ref="J55">XLOOKUP(RECUO!$B55,SETORES!B:B,SETORES!A:A)</f>
        <v>8</v>
      </c>
    </row>
    <row r="56" ht="14.25" customHeight="1">
      <c r="A56" s="17" t="s">
        <v>29</v>
      </c>
      <c r="B56" s="17" t="s">
        <v>36</v>
      </c>
      <c r="C56" s="16">
        <v>10.0</v>
      </c>
      <c r="D56" s="17"/>
      <c r="E56" s="25">
        <v>10.0</v>
      </c>
      <c r="F56" s="17"/>
      <c r="G56" s="17" t="s">
        <v>130</v>
      </c>
      <c r="H56" s="17">
        <v>55.0</v>
      </c>
      <c r="I56" s="17">
        <f t="array" ref="I56">XLOOKUP(RECUO!$A56,MACROZONAS!B:B,MACROZONAS!A:A)</f>
        <v>6</v>
      </c>
      <c r="J56" s="17">
        <f t="array" ref="J56">XLOOKUP(RECUO!$B56,SETORES!B:B,SETORES!A:A)</f>
        <v>8</v>
      </c>
    </row>
    <row r="57" ht="14.25" customHeight="1">
      <c r="A57" s="17" t="s">
        <v>43</v>
      </c>
      <c r="B57" s="17" t="s">
        <v>36</v>
      </c>
      <c r="C57" s="16">
        <v>10.0</v>
      </c>
      <c r="D57" s="17"/>
      <c r="E57" s="25">
        <v>10.0</v>
      </c>
      <c r="F57" s="17"/>
      <c r="G57" s="17" t="s">
        <v>130</v>
      </c>
      <c r="H57" s="17">
        <v>56.0</v>
      </c>
      <c r="I57" s="17">
        <f t="array" ref="I57">XLOOKUP(RECUO!$A57,MACROZONAS!B:B,MACROZONAS!A:A)</f>
        <v>7</v>
      </c>
      <c r="J57" s="17">
        <f t="array" ref="J57">XLOOKUP(RECUO!$B57,SETORES!B:B,SETORES!A:A)</f>
        <v>8</v>
      </c>
    </row>
    <row r="58" ht="14.25" customHeight="1">
      <c r="A58" s="17" t="s">
        <v>33</v>
      </c>
      <c r="B58" s="17" t="s">
        <v>15</v>
      </c>
      <c r="C58" s="16">
        <v>5.0</v>
      </c>
      <c r="D58" s="17">
        <v>7.0</v>
      </c>
      <c r="E58" s="25">
        <v>10.0</v>
      </c>
      <c r="F58" s="17"/>
      <c r="G58" s="17" t="s">
        <v>130</v>
      </c>
      <c r="H58" s="17">
        <v>57.0</v>
      </c>
      <c r="I58" s="17">
        <f t="array" ref="I58">XLOOKUP(RECUO!$A58,MACROZONAS!B:B,MACROZONAS!A:A)</f>
        <v>1</v>
      </c>
      <c r="J58" s="17">
        <f t="array" ref="J58">XLOOKUP(RECUO!$B58,SETORES!B:B,SETORES!A:A)</f>
        <v>9</v>
      </c>
    </row>
    <row r="59" ht="14.25" customHeight="1">
      <c r="A59" s="17" t="s">
        <v>28</v>
      </c>
      <c r="B59" s="17" t="s">
        <v>15</v>
      </c>
      <c r="C59" s="16">
        <v>5.0</v>
      </c>
      <c r="D59" s="17">
        <v>7.0</v>
      </c>
      <c r="E59" s="25">
        <v>10.0</v>
      </c>
      <c r="F59" s="17"/>
      <c r="G59" s="17" t="s">
        <v>130</v>
      </c>
      <c r="H59" s="17">
        <v>58.0</v>
      </c>
      <c r="I59" s="17">
        <f t="array" ref="I59">XLOOKUP(RECUO!$A59,MACROZONAS!B:B,MACROZONAS!A:A)</f>
        <v>2</v>
      </c>
      <c r="J59" s="17">
        <f t="array" ref="J59">XLOOKUP(RECUO!$B59,SETORES!B:B,SETORES!A:A)</f>
        <v>9</v>
      </c>
    </row>
    <row r="60" ht="14.25" customHeight="1">
      <c r="A60" s="17" t="s">
        <v>42</v>
      </c>
      <c r="B60" s="17" t="s">
        <v>15</v>
      </c>
      <c r="C60" s="16">
        <v>5.0</v>
      </c>
      <c r="D60" s="17">
        <v>7.0</v>
      </c>
      <c r="E60" s="25">
        <v>10.0</v>
      </c>
      <c r="F60" s="17"/>
      <c r="G60" s="17" t="s">
        <v>130</v>
      </c>
      <c r="H60" s="17">
        <v>59.0</v>
      </c>
      <c r="I60" s="17">
        <f t="array" ref="I60">XLOOKUP(RECUO!$A60,MACROZONAS!B:B,MACROZONAS!A:A)</f>
        <v>3</v>
      </c>
      <c r="J60" s="17">
        <f t="array" ref="J60">XLOOKUP(RECUO!$B60,SETORES!B:B,SETORES!A:A)</f>
        <v>9</v>
      </c>
    </row>
    <row r="61" ht="14.25" customHeight="1">
      <c r="A61" s="17" t="s">
        <v>18</v>
      </c>
      <c r="B61" s="17" t="s">
        <v>15</v>
      </c>
      <c r="C61" s="16">
        <v>5.0</v>
      </c>
      <c r="D61" s="17">
        <v>7.0</v>
      </c>
      <c r="E61" s="25">
        <v>10.0</v>
      </c>
      <c r="F61" s="17"/>
      <c r="G61" s="17" t="s">
        <v>130</v>
      </c>
      <c r="H61" s="17">
        <v>60.0</v>
      </c>
      <c r="I61" s="17">
        <f t="array" ref="I61">XLOOKUP(RECUO!$A61,MACROZONAS!B:B,MACROZONAS!A:A)</f>
        <v>4</v>
      </c>
      <c r="J61" s="17">
        <f t="array" ref="J61">XLOOKUP(RECUO!$B61,SETORES!B:B,SETORES!A:A)</f>
        <v>9</v>
      </c>
    </row>
    <row r="62" ht="14.25" customHeight="1">
      <c r="A62" s="17" t="s">
        <v>39</v>
      </c>
      <c r="B62" s="17" t="s">
        <v>15</v>
      </c>
      <c r="C62" s="16">
        <v>10.0</v>
      </c>
      <c r="D62" s="17"/>
      <c r="E62" s="25">
        <v>10.0</v>
      </c>
      <c r="F62" s="17"/>
      <c r="G62" s="17" t="s">
        <v>130</v>
      </c>
      <c r="H62" s="17">
        <v>61.0</v>
      </c>
      <c r="I62" s="17">
        <f t="array" ref="I62">XLOOKUP(RECUO!$A62,MACROZONAS!B:B,MACROZONAS!A:A)</f>
        <v>5</v>
      </c>
      <c r="J62" s="17">
        <f t="array" ref="J62">XLOOKUP(RECUO!$B62,SETORES!B:B,SETORES!A:A)</f>
        <v>9</v>
      </c>
    </row>
    <row r="63" ht="14.25" customHeight="1">
      <c r="A63" s="17" t="s">
        <v>29</v>
      </c>
      <c r="B63" s="17" t="s">
        <v>15</v>
      </c>
      <c r="C63" s="16">
        <v>10.0</v>
      </c>
      <c r="D63" s="17"/>
      <c r="E63" s="25">
        <v>10.0</v>
      </c>
      <c r="F63" s="17"/>
      <c r="G63" s="17" t="s">
        <v>130</v>
      </c>
      <c r="H63" s="17">
        <v>62.0</v>
      </c>
      <c r="I63" s="17">
        <f t="array" ref="I63">XLOOKUP(RECUO!$A63,MACROZONAS!B:B,MACROZONAS!A:A)</f>
        <v>6</v>
      </c>
      <c r="J63" s="17">
        <f t="array" ref="J63">XLOOKUP(RECUO!$B63,SETORES!B:B,SETORES!A:A)</f>
        <v>9</v>
      </c>
    </row>
    <row r="64" ht="14.25" customHeight="1">
      <c r="A64" s="17" t="s">
        <v>43</v>
      </c>
      <c r="B64" s="17" t="s">
        <v>15</v>
      </c>
      <c r="C64" s="16">
        <v>10.0</v>
      </c>
      <c r="D64" s="17"/>
      <c r="E64" s="25">
        <v>10.0</v>
      </c>
      <c r="F64" s="17"/>
      <c r="G64" s="17" t="s">
        <v>130</v>
      </c>
      <c r="H64" s="17">
        <v>63.0</v>
      </c>
      <c r="I64" s="17">
        <f t="array" ref="I64">XLOOKUP(RECUO!$A64,MACROZONAS!B:B,MACROZONAS!A:A)</f>
        <v>7</v>
      </c>
      <c r="J64" s="17">
        <f t="array" ref="J64">XLOOKUP(RECUO!$B64,SETORES!B:B,SETORES!A:A)</f>
        <v>9</v>
      </c>
    </row>
    <row r="65" ht="14.25" customHeight="1">
      <c r="A65" s="17" t="s">
        <v>33</v>
      </c>
      <c r="B65" s="17" t="s">
        <v>38</v>
      </c>
      <c r="C65" s="16">
        <v>5.0</v>
      </c>
      <c r="D65" s="17">
        <v>7.0</v>
      </c>
      <c r="E65" s="25">
        <v>10.0</v>
      </c>
      <c r="F65" s="17"/>
      <c r="G65" s="17" t="s">
        <v>130</v>
      </c>
      <c r="H65" s="17">
        <v>64.0</v>
      </c>
      <c r="I65" s="17">
        <f t="array" ref="I65">XLOOKUP(RECUO!$A65,MACROZONAS!B:B,MACROZONAS!A:A)</f>
        <v>1</v>
      </c>
      <c r="J65" s="17">
        <f t="array" ref="J65">XLOOKUP(RECUO!$B65,SETORES!B:B,SETORES!A:A)</f>
        <v>10</v>
      </c>
    </row>
    <row r="66" ht="14.25" customHeight="1">
      <c r="A66" s="17" t="s">
        <v>28</v>
      </c>
      <c r="B66" s="17" t="s">
        <v>38</v>
      </c>
      <c r="C66" s="16">
        <v>5.0</v>
      </c>
      <c r="D66" s="17">
        <v>7.0</v>
      </c>
      <c r="E66" s="25">
        <v>10.0</v>
      </c>
      <c r="F66" s="17"/>
      <c r="G66" s="17" t="s">
        <v>130</v>
      </c>
      <c r="H66" s="17">
        <v>65.0</v>
      </c>
      <c r="I66" s="17">
        <f t="array" ref="I66">XLOOKUP(RECUO!$A66,MACROZONAS!B:B,MACROZONAS!A:A)</f>
        <v>2</v>
      </c>
      <c r="J66" s="17">
        <f t="array" ref="J66">XLOOKUP(RECUO!$B66,SETORES!B:B,SETORES!A:A)</f>
        <v>10</v>
      </c>
    </row>
    <row r="67" ht="14.25" customHeight="1">
      <c r="A67" s="17" t="s">
        <v>42</v>
      </c>
      <c r="B67" s="17" t="s">
        <v>38</v>
      </c>
      <c r="C67" s="16">
        <v>5.0</v>
      </c>
      <c r="D67" s="17">
        <v>7.0</v>
      </c>
      <c r="E67" s="25">
        <v>10.0</v>
      </c>
      <c r="F67" s="17"/>
      <c r="G67" s="17" t="s">
        <v>130</v>
      </c>
      <c r="H67" s="17">
        <v>66.0</v>
      </c>
      <c r="I67" s="17">
        <f t="array" ref="I67">XLOOKUP(RECUO!$A67,MACROZONAS!B:B,MACROZONAS!A:A)</f>
        <v>3</v>
      </c>
      <c r="J67" s="17">
        <f t="array" ref="J67">XLOOKUP(RECUO!$B67,SETORES!B:B,SETORES!A:A)</f>
        <v>10</v>
      </c>
    </row>
    <row r="68" ht="14.25" customHeight="1">
      <c r="A68" s="17" t="s">
        <v>18</v>
      </c>
      <c r="B68" s="17" t="s">
        <v>38</v>
      </c>
      <c r="C68" s="16">
        <v>5.0</v>
      </c>
      <c r="D68" s="17">
        <v>7.0</v>
      </c>
      <c r="E68" s="25">
        <v>10.0</v>
      </c>
      <c r="F68" s="17"/>
      <c r="G68" s="17" t="s">
        <v>130</v>
      </c>
      <c r="H68" s="17">
        <v>67.0</v>
      </c>
      <c r="I68" s="17">
        <f t="array" ref="I68">XLOOKUP(RECUO!$A68,MACROZONAS!B:B,MACROZONAS!A:A)</f>
        <v>4</v>
      </c>
      <c r="J68" s="17">
        <f t="array" ref="J68">XLOOKUP(RECUO!$B68,SETORES!B:B,SETORES!A:A)</f>
        <v>10</v>
      </c>
    </row>
    <row r="69" ht="14.25" customHeight="1">
      <c r="A69" s="17" t="s">
        <v>39</v>
      </c>
      <c r="B69" s="17" t="s">
        <v>38</v>
      </c>
      <c r="C69" s="16">
        <v>10.0</v>
      </c>
      <c r="D69" s="17"/>
      <c r="E69" s="25">
        <v>10.0</v>
      </c>
      <c r="F69" s="17"/>
      <c r="G69" s="17" t="s">
        <v>130</v>
      </c>
      <c r="H69" s="17">
        <v>68.0</v>
      </c>
      <c r="I69" s="17">
        <f t="array" ref="I69">XLOOKUP(RECUO!$A69,MACROZONAS!B:B,MACROZONAS!A:A)</f>
        <v>5</v>
      </c>
      <c r="J69" s="17">
        <f t="array" ref="J69">XLOOKUP(RECUO!$B69,SETORES!B:B,SETORES!A:A)</f>
        <v>10</v>
      </c>
    </row>
    <row r="70" ht="14.25" customHeight="1">
      <c r="A70" s="17" t="s">
        <v>29</v>
      </c>
      <c r="B70" s="17" t="s">
        <v>38</v>
      </c>
      <c r="C70" s="16">
        <v>10.0</v>
      </c>
      <c r="D70" s="17"/>
      <c r="E70" s="25">
        <v>10.0</v>
      </c>
      <c r="F70" s="17"/>
      <c r="G70" s="17" t="s">
        <v>130</v>
      </c>
      <c r="H70" s="17">
        <v>69.0</v>
      </c>
      <c r="I70" s="17">
        <f t="array" ref="I70">XLOOKUP(RECUO!$A70,MACROZONAS!B:B,MACROZONAS!A:A)</f>
        <v>6</v>
      </c>
      <c r="J70" s="17">
        <f t="array" ref="J70">XLOOKUP(RECUO!$B70,SETORES!B:B,SETORES!A:A)</f>
        <v>10</v>
      </c>
    </row>
    <row r="71" ht="14.25" customHeight="1">
      <c r="A71" s="17" t="s">
        <v>43</v>
      </c>
      <c r="B71" s="17" t="s">
        <v>38</v>
      </c>
      <c r="C71" s="16">
        <v>10.0</v>
      </c>
      <c r="D71" s="17"/>
      <c r="E71" s="25">
        <v>10.0</v>
      </c>
      <c r="F71" s="17"/>
      <c r="G71" s="17" t="s">
        <v>130</v>
      </c>
      <c r="H71" s="17">
        <v>70.0</v>
      </c>
      <c r="I71" s="17">
        <f t="array" ref="I71">XLOOKUP(RECUO!$A71,MACROZONAS!B:B,MACROZONAS!A:A)</f>
        <v>7</v>
      </c>
      <c r="J71" s="17">
        <f t="array" ref="J71">XLOOKUP(RECUO!$B71,SETORES!B:B,SETORES!A:A)</f>
        <v>10</v>
      </c>
    </row>
    <row r="72" ht="14.25" customHeight="1">
      <c r="A72" s="17" t="s">
        <v>33</v>
      </c>
      <c r="B72" s="17" t="s">
        <v>40</v>
      </c>
      <c r="C72" s="16">
        <v>5.0</v>
      </c>
      <c r="D72" s="17">
        <v>7.0</v>
      </c>
      <c r="E72" s="25">
        <v>10.0</v>
      </c>
      <c r="F72" s="17"/>
      <c r="G72" s="17" t="s">
        <v>130</v>
      </c>
      <c r="H72" s="17">
        <v>71.0</v>
      </c>
      <c r="I72" s="17">
        <f t="array" ref="I72">XLOOKUP(RECUO!$A72,MACROZONAS!B:B,MACROZONAS!A:A)</f>
        <v>1</v>
      </c>
      <c r="J72" s="17">
        <f t="array" ref="J72">XLOOKUP(RECUO!$B72,SETORES!B:B,SETORES!A:A)</f>
        <v>11</v>
      </c>
    </row>
    <row r="73" ht="14.25" customHeight="1">
      <c r="A73" s="17" t="s">
        <v>28</v>
      </c>
      <c r="B73" s="17" t="s">
        <v>40</v>
      </c>
      <c r="C73" s="16">
        <v>5.0</v>
      </c>
      <c r="D73" s="17">
        <v>7.0</v>
      </c>
      <c r="E73" s="25">
        <v>10.0</v>
      </c>
      <c r="F73" s="17"/>
      <c r="G73" s="17" t="s">
        <v>130</v>
      </c>
      <c r="H73" s="17">
        <v>72.0</v>
      </c>
      <c r="I73" s="17">
        <f t="array" ref="I73">XLOOKUP(RECUO!$A73,MACROZONAS!B:B,MACROZONAS!A:A)</f>
        <v>2</v>
      </c>
      <c r="J73" s="17">
        <f t="array" ref="J73">XLOOKUP(RECUO!$B73,SETORES!B:B,SETORES!A:A)</f>
        <v>11</v>
      </c>
    </row>
    <row r="74" ht="14.25" customHeight="1">
      <c r="A74" s="17" t="s">
        <v>42</v>
      </c>
      <c r="B74" s="17" t="s">
        <v>40</v>
      </c>
      <c r="C74" s="16">
        <v>5.0</v>
      </c>
      <c r="D74" s="17">
        <v>7.0</v>
      </c>
      <c r="E74" s="25">
        <v>10.0</v>
      </c>
      <c r="F74" s="17"/>
      <c r="G74" s="17" t="s">
        <v>130</v>
      </c>
      <c r="H74" s="17">
        <v>73.0</v>
      </c>
      <c r="I74" s="17">
        <f t="array" ref="I74">XLOOKUP(RECUO!$A74,MACROZONAS!B:B,MACROZONAS!A:A)</f>
        <v>3</v>
      </c>
      <c r="J74" s="17">
        <f t="array" ref="J74">XLOOKUP(RECUO!$B74,SETORES!B:B,SETORES!A:A)</f>
        <v>11</v>
      </c>
    </row>
    <row r="75" ht="14.25" customHeight="1">
      <c r="A75" s="17" t="s">
        <v>18</v>
      </c>
      <c r="B75" s="17" t="s">
        <v>40</v>
      </c>
      <c r="C75" s="16">
        <v>5.0</v>
      </c>
      <c r="D75" s="17">
        <v>7.0</v>
      </c>
      <c r="E75" s="25">
        <v>10.0</v>
      </c>
      <c r="F75" s="17"/>
      <c r="G75" s="17" t="s">
        <v>130</v>
      </c>
      <c r="H75" s="17">
        <v>74.0</v>
      </c>
      <c r="I75" s="17">
        <f t="array" ref="I75">XLOOKUP(RECUO!$A75,MACROZONAS!B:B,MACROZONAS!A:A)</f>
        <v>4</v>
      </c>
      <c r="J75" s="17">
        <f t="array" ref="J75">XLOOKUP(RECUO!$B75,SETORES!B:B,SETORES!A:A)</f>
        <v>11</v>
      </c>
    </row>
    <row r="76" ht="14.25" customHeight="1">
      <c r="A76" s="17" t="s">
        <v>39</v>
      </c>
      <c r="B76" s="17" t="s">
        <v>40</v>
      </c>
      <c r="C76" s="16">
        <v>10.0</v>
      </c>
      <c r="D76" s="17"/>
      <c r="E76" s="25">
        <v>10.0</v>
      </c>
      <c r="F76" s="17"/>
      <c r="G76" s="17" t="s">
        <v>130</v>
      </c>
      <c r="H76" s="17">
        <v>75.0</v>
      </c>
      <c r="I76" s="17">
        <f t="array" ref="I76">XLOOKUP(RECUO!$A76,MACROZONAS!B:B,MACROZONAS!A:A)</f>
        <v>5</v>
      </c>
      <c r="J76" s="17">
        <f t="array" ref="J76">XLOOKUP(RECUO!$B76,SETORES!B:B,SETORES!A:A)</f>
        <v>11</v>
      </c>
    </row>
    <row r="77" ht="14.25" customHeight="1">
      <c r="A77" s="17" t="s">
        <v>29</v>
      </c>
      <c r="B77" s="17" t="s">
        <v>40</v>
      </c>
      <c r="C77" s="16">
        <v>10.0</v>
      </c>
      <c r="D77" s="17"/>
      <c r="E77" s="25">
        <v>10.0</v>
      </c>
      <c r="F77" s="17"/>
      <c r="G77" s="17" t="s">
        <v>130</v>
      </c>
      <c r="H77" s="17">
        <v>76.0</v>
      </c>
      <c r="I77" s="17">
        <f t="array" ref="I77">XLOOKUP(RECUO!$A77,MACROZONAS!B:B,MACROZONAS!A:A)</f>
        <v>6</v>
      </c>
      <c r="J77" s="17">
        <f t="array" ref="J77">XLOOKUP(RECUO!$B77,SETORES!B:B,SETORES!A:A)</f>
        <v>11</v>
      </c>
    </row>
    <row r="78" ht="14.25" customHeight="1">
      <c r="A78" s="17" t="s">
        <v>43</v>
      </c>
      <c r="B78" s="17" t="s">
        <v>40</v>
      </c>
      <c r="C78" s="16">
        <v>10.0</v>
      </c>
      <c r="D78" s="17"/>
      <c r="E78" s="25">
        <v>10.0</v>
      </c>
      <c r="F78" s="17"/>
      <c r="G78" s="17" t="s">
        <v>130</v>
      </c>
      <c r="H78" s="17">
        <v>77.0</v>
      </c>
      <c r="I78" s="17">
        <f t="array" ref="I78">XLOOKUP(RECUO!$A78,MACROZONAS!B:B,MACROZONAS!A:A)</f>
        <v>7</v>
      </c>
      <c r="J78" s="17">
        <f t="array" ref="J78">XLOOKUP(RECUO!$B78,SETORES!B:B,SETORES!A:A)</f>
        <v>11</v>
      </c>
    </row>
    <row r="79" ht="14.25" customHeight="1">
      <c r="A79" s="17" t="s">
        <v>33</v>
      </c>
      <c r="B79" s="17" t="s">
        <v>20</v>
      </c>
      <c r="C79" s="16">
        <v>5.0</v>
      </c>
      <c r="D79" s="17">
        <v>7.0</v>
      </c>
      <c r="E79" s="25">
        <v>10.0</v>
      </c>
      <c r="F79" s="17"/>
      <c r="G79" s="17" t="s">
        <v>130</v>
      </c>
      <c r="H79" s="17">
        <v>78.0</v>
      </c>
      <c r="I79" s="17">
        <f t="array" ref="I79">XLOOKUP(RECUO!$A79,MACROZONAS!B:B,MACROZONAS!A:A)</f>
        <v>1</v>
      </c>
      <c r="J79" s="17">
        <f t="array" ref="J79">XLOOKUP(RECUO!$B79,SETORES!B:B,SETORES!A:A)</f>
        <v>12</v>
      </c>
    </row>
    <row r="80" ht="14.25" customHeight="1">
      <c r="A80" s="17" t="s">
        <v>28</v>
      </c>
      <c r="B80" s="17" t="s">
        <v>20</v>
      </c>
      <c r="C80" s="16">
        <v>5.0</v>
      </c>
      <c r="D80" s="17">
        <v>7.0</v>
      </c>
      <c r="E80" s="25">
        <v>10.0</v>
      </c>
      <c r="F80" s="17"/>
      <c r="G80" s="17" t="s">
        <v>130</v>
      </c>
      <c r="H80" s="17">
        <v>79.0</v>
      </c>
      <c r="I80" s="17">
        <f t="array" ref="I80">XLOOKUP(RECUO!$A80,MACROZONAS!B:B,MACROZONAS!A:A)</f>
        <v>2</v>
      </c>
      <c r="J80" s="17">
        <f t="array" ref="J80">XLOOKUP(RECUO!$B80,SETORES!B:B,SETORES!A:A)</f>
        <v>12</v>
      </c>
    </row>
    <row r="81" ht="14.25" customHeight="1">
      <c r="A81" s="17" t="s">
        <v>42</v>
      </c>
      <c r="B81" s="17" t="s">
        <v>20</v>
      </c>
      <c r="C81" s="16">
        <v>5.0</v>
      </c>
      <c r="D81" s="17">
        <v>7.0</v>
      </c>
      <c r="E81" s="25">
        <v>10.0</v>
      </c>
      <c r="F81" s="17"/>
      <c r="G81" s="17" t="s">
        <v>130</v>
      </c>
      <c r="H81" s="17">
        <v>80.0</v>
      </c>
      <c r="I81" s="17">
        <f t="array" ref="I81">XLOOKUP(RECUO!$A81,MACROZONAS!B:B,MACROZONAS!A:A)</f>
        <v>3</v>
      </c>
      <c r="J81" s="17">
        <f t="array" ref="J81">XLOOKUP(RECUO!$B81,SETORES!B:B,SETORES!A:A)</f>
        <v>12</v>
      </c>
    </row>
    <row r="82" ht="14.25" customHeight="1">
      <c r="A82" s="17" t="s">
        <v>18</v>
      </c>
      <c r="B82" s="17" t="s">
        <v>20</v>
      </c>
      <c r="C82" s="16">
        <v>5.0</v>
      </c>
      <c r="D82" s="17">
        <v>7.0</v>
      </c>
      <c r="E82" s="25">
        <v>10.0</v>
      </c>
      <c r="F82" s="17"/>
      <c r="G82" s="17" t="s">
        <v>130</v>
      </c>
      <c r="H82" s="17">
        <v>81.0</v>
      </c>
      <c r="I82" s="17">
        <f t="array" ref="I82">XLOOKUP(RECUO!$A82,MACROZONAS!B:B,MACROZONAS!A:A)</f>
        <v>4</v>
      </c>
      <c r="J82" s="17">
        <f t="array" ref="J82">XLOOKUP(RECUO!$B82,SETORES!B:B,SETORES!A:A)</f>
        <v>12</v>
      </c>
    </row>
    <row r="83" ht="14.25" customHeight="1">
      <c r="A83" s="17" t="s">
        <v>39</v>
      </c>
      <c r="B83" s="17" t="s">
        <v>20</v>
      </c>
      <c r="C83" s="16">
        <v>10.0</v>
      </c>
      <c r="D83" s="17"/>
      <c r="E83" s="25">
        <v>10.0</v>
      </c>
      <c r="F83" s="17"/>
      <c r="G83" s="17" t="s">
        <v>130</v>
      </c>
      <c r="H83" s="17">
        <v>82.0</v>
      </c>
      <c r="I83" s="17">
        <f t="array" ref="I83">XLOOKUP(RECUO!$A83,MACROZONAS!B:B,MACROZONAS!A:A)</f>
        <v>5</v>
      </c>
      <c r="J83" s="17">
        <f t="array" ref="J83">XLOOKUP(RECUO!$B83,SETORES!B:B,SETORES!A:A)</f>
        <v>12</v>
      </c>
    </row>
    <row r="84" ht="14.25" customHeight="1">
      <c r="A84" s="17" t="s">
        <v>29</v>
      </c>
      <c r="B84" s="17" t="s">
        <v>20</v>
      </c>
      <c r="C84" s="16">
        <v>10.0</v>
      </c>
      <c r="D84" s="17"/>
      <c r="E84" s="25">
        <v>10.0</v>
      </c>
      <c r="F84" s="17"/>
      <c r="G84" s="17" t="s">
        <v>130</v>
      </c>
      <c r="H84" s="17">
        <v>83.0</v>
      </c>
      <c r="I84" s="17">
        <f t="array" ref="I84">XLOOKUP(RECUO!$A84,MACROZONAS!B:B,MACROZONAS!A:A)</f>
        <v>6</v>
      </c>
      <c r="J84" s="17">
        <f t="array" ref="J84">XLOOKUP(RECUO!$B84,SETORES!B:B,SETORES!A:A)</f>
        <v>12</v>
      </c>
    </row>
    <row r="85" ht="14.25" customHeight="1">
      <c r="A85" s="17" t="s">
        <v>43</v>
      </c>
      <c r="B85" s="17" t="s">
        <v>20</v>
      </c>
      <c r="C85" s="16">
        <v>10.0</v>
      </c>
      <c r="D85" s="17"/>
      <c r="E85" s="25">
        <v>10.0</v>
      </c>
      <c r="F85" s="17"/>
      <c r="G85" s="17" t="s">
        <v>130</v>
      </c>
      <c r="H85" s="17">
        <v>84.0</v>
      </c>
      <c r="I85" s="17">
        <f t="array" ref="I85">XLOOKUP(RECUO!$A85,MACROZONAS!B:B,MACROZONAS!A:A)</f>
        <v>7</v>
      </c>
      <c r="J85" s="17">
        <f t="array" ref="J85">XLOOKUP(RECUO!$B85,SETORES!B:B,SETORES!A:A)</f>
        <v>12</v>
      </c>
    </row>
    <row r="86" ht="14.25" customHeight="1">
      <c r="A86" s="17" t="s">
        <v>33</v>
      </c>
      <c r="B86" s="17" t="s">
        <v>27</v>
      </c>
      <c r="C86" s="16">
        <v>5.0</v>
      </c>
      <c r="D86" s="17">
        <v>7.0</v>
      </c>
      <c r="E86" s="25">
        <v>10.0</v>
      </c>
      <c r="F86" s="17"/>
      <c r="G86" s="17" t="s">
        <v>130</v>
      </c>
      <c r="H86" s="17">
        <v>85.0</v>
      </c>
      <c r="I86" s="17">
        <f t="array" ref="I86">XLOOKUP(RECUO!$A86,MACROZONAS!B:B,MACROZONAS!A:A)</f>
        <v>1</v>
      </c>
      <c r="J86" s="17">
        <f t="array" ref="J86">XLOOKUP(RECUO!$B86,SETORES!B:B,SETORES!A:A)</f>
        <v>13</v>
      </c>
    </row>
    <row r="87" ht="14.25" customHeight="1">
      <c r="A87" s="17" t="s">
        <v>28</v>
      </c>
      <c r="B87" s="17" t="s">
        <v>27</v>
      </c>
      <c r="C87" s="16">
        <v>5.0</v>
      </c>
      <c r="D87" s="17">
        <v>7.0</v>
      </c>
      <c r="E87" s="25">
        <v>10.0</v>
      </c>
      <c r="F87" s="17"/>
      <c r="G87" s="17" t="s">
        <v>130</v>
      </c>
      <c r="H87" s="17">
        <v>86.0</v>
      </c>
      <c r="I87" s="17">
        <f t="array" ref="I87">XLOOKUP(RECUO!$A87,MACROZONAS!B:B,MACROZONAS!A:A)</f>
        <v>2</v>
      </c>
      <c r="J87" s="17">
        <f t="array" ref="J87">XLOOKUP(RECUO!$B87,SETORES!B:B,SETORES!A:A)</f>
        <v>13</v>
      </c>
    </row>
    <row r="88" ht="14.25" customHeight="1">
      <c r="A88" s="17" t="s">
        <v>42</v>
      </c>
      <c r="B88" s="17" t="s">
        <v>27</v>
      </c>
      <c r="C88" s="16">
        <v>5.0</v>
      </c>
      <c r="D88" s="17">
        <v>7.0</v>
      </c>
      <c r="E88" s="25">
        <v>10.0</v>
      </c>
      <c r="F88" s="17"/>
      <c r="G88" s="17" t="s">
        <v>130</v>
      </c>
      <c r="H88" s="17">
        <v>87.0</v>
      </c>
      <c r="I88" s="17">
        <f t="array" ref="I88">XLOOKUP(RECUO!$A88,MACROZONAS!B:B,MACROZONAS!A:A)</f>
        <v>3</v>
      </c>
      <c r="J88" s="17">
        <f t="array" ref="J88">XLOOKUP(RECUO!$B88,SETORES!B:B,SETORES!A:A)</f>
        <v>13</v>
      </c>
    </row>
    <row r="89" ht="14.25" customHeight="1">
      <c r="A89" s="17" t="s">
        <v>18</v>
      </c>
      <c r="B89" s="17" t="s">
        <v>27</v>
      </c>
      <c r="C89" s="16">
        <v>5.0</v>
      </c>
      <c r="D89" s="17">
        <v>7.0</v>
      </c>
      <c r="E89" s="25">
        <v>10.0</v>
      </c>
      <c r="F89" s="17"/>
      <c r="G89" s="17" t="s">
        <v>130</v>
      </c>
      <c r="H89" s="17">
        <v>88.0</v>
      </c>
      <c r="I89" s="17">
        <f t="array" ref="I89">XLOOKUP(RECUO!$A89,MACROZONAS!B:B,MACROZONAS!A:A)</f>
        <v>4</v>
      </c>
      <c r="J89" s="17">
        <f t="array" ref="J89">XLOOKUP(RECUO!$B89,SETORES!B:B,SETORES!A:A)</f>
        <v>13</v>
      </c>
    </row>
    <row r="90" ht="14.25" customHeight="1">
      <c r="A90" s="17" t="s">
        <v>39</v>
      </c>
      <c r="B90" s="17" t="s">
        <v>27</v>
      </c>
      <c r="C90" s="16">
        <v>10.0</v>
      </c>
      <c r="D90" s="17"/>
      <c r="E90" s="25">
        <v>10.0</v>
      </c>
      <c r="F90" s="17"/>
      <c r="G90" s="17" t="s">
        <v>130</v>
      </c>
      <c r="H90" s="17">
        <v>89.0</v>
      </c>
      <c r="I90" s="17">
        <f t="array" ref="I90">XLOOKUP(RECUO!$A90,MACROZONAS!B:B,MACROZONAS!A:A)</f>
        <v>5</v>
      </c>
      <c r="J90" s="17">
        <f t="array" ref="J90">XLOOKUP(RECUO!$B90,SETORES!B:B,SETORES!A:A)</f>
        <v>13</v>
      </c>
    </row>
    <row r="91" ht="14.25" customHeight="1">
      <c r="A91" s="17" t="s">
        <v>29</v>
      </c>
      <c r="B91" s="17" t="s">
        <v>27</v>
      </c>
      <c r="C91" s="16">
        <v>10.0</v>
      </c>
      <c r="D91" s="17"/>
      <c r="E91" s="25">
        <v>10.0</v>
      </c>
      <c r="F91" s="17"/>
      <c r="G91" s="17" t="s">
        <v>130</v>
      </c>
      <c r="H91" s="17">
        <v>90.0</v>
      </c>
      <c r="I91" s="17">
        <f t="array" ref="I91">XLOOKUP(RECUO!$A91,MACROZONAS!B:B,MACROZONAS!A:A)</f>
        <v>6</v>
      </c>
      <c r="J91" s="17">
        <f t="array" ref="J91">XLOOKUP(RECUO!$B91,SETORES!B:B,SETORES!A:A)</f>
        <v>13</v>
      </c>
    </row>
    <row r="92" ht="14.25" customHeight="1">
      <c r="A92" s="17" t="s">
        <v>43</v>
      </c>
      <c r="B92" s="17" t="s">
        <v>27</v>
      </c>
      <c r="C92" s="16">
        <v>10.0</v>
      </c>
      <c r="D92" s="17"/>
      <c r="E92" s="25">
        <v>10.0</v>
      </c>
      <c r="F92" s="17"/>
      <c r="G92" s="17" t="s">
        <v>130</v>
      </c>
      <c r="H92" s="17">
        <v>91.0</v>
      </c>
      <c r="I92" s="17">
        <f t="array" ref="I92">XLOOKUP(RECUO!$A92,MACROZONAS!B:B,MACROZONAS!A:A)</f>
        <v>7</v>
      </c>
      <c r="J92" s="17">
        <f t="array" ref="J92">XLOOKUP(RECUO!$B92,SETORES!B:B,SETORES!A:A)</f>
        <v>13</v>
      </c>
    </row>
    <row r="93" ht="14.25" customHeight="1">
      <c r="A93" s="17" t="s">
        <v>33</v>
      </c>
      <c r="B93" s="17" t="s">
        <v>24</v>
      </c>
      <c r="C93" s="16">
        <v>5.0</v>
      </c>
      <c r="D93" s="17">
        <v>7.0</v>
      </c>
      <c r="E93" s="25">
        <v>10.0</v>
      </c>
      <c r="F93" s="17"/>
      <c r="G93" s="17" t="s">
        <v>130</v>
      </c>
      <c r="H93" s="17">
        <v>92.0</v>
      </c>
      <c r="I93" s="17">
        <f t="array" ref="I93">XLOOKUP(RECUO!$A93,MACROZONAS!B:B,MACROZONAS!A:A)</f>
        <v>1</v>
      </c>
      <c r="J93" s="17">
        <f t="array" ref="J93">XLOOKUP(RECUO!$B93,SETORES!B:B,SETORES!A:A)</f>
        <v>14</v>
      </c>
    </row>
    <row r="94" ht="14.25" customHeight="1">
      <c r="A94" s="17" t="s">
        <v>28</v>
      </c>
      <c r="B94" s="17" t="s">
        <v>24</v>
      </c>
      <c r="C94" s="16">
        <v>5.0</v>
      </c>
      <c r="D94" s="17">
        <v>7.0</v>
      </c>
      <c r="E94" s="25">
        <v>10.0</v>
      </c>
      <c r="F94" s="17"/>
      <c r="G94" s="17" t="s">
        <v>130</v>
      </c>
      <c r="H94" s="17">
        <v>93.0</v>
      </c>
      <c r="I94" s="17">
        <f t="array" ref="I94">XLOOKUP(RECUO!$A94,MACROZONAS!B:B,MACROZONAS!A:A)</f>
        <v>2</v>
      </c>
      <c r="J94" s="17">
        <f t="array" ref="J94">XLOOKUP(RECUO!$B94,SETORES!B:B,SETORES!A:A)</f>
        <v>14</v>
      </c>
    </row>
    <row r="95" ht="14.25" customHeight="1">
      <c r="A95" s="17" t="s">
        <v>42</v>
      </c>
      <c r="B95" s="17" t="s">
        <v>24</v>
      </c>
      <c r="C95" s="16">
        <v>5.0</v>
      </c>
      <c r="D95" s="17">
        <v>7.0</v>
      </c>
      <c r="E95" s="25">
        <v>10.0</v>
      </c>
      <c r="F95" s="17"/>
      <c r="G95" s="17" t="s">
        <v>130</v>
      </c>
      <c r="H95" s="17">
        <v>94.0</v>
      </c>
      <c r="I95" s="17">
        <f t="array" ref="I95">XLOOKUP(RECUO!$A95,MACROZONAS!B:B,MACROZONAS!A:A)</f>
        <v>3</v>
      </c>
      <c r="J95" s="17">
        <f t="array" ref="J95">XLOOKUP(RECUO!$B95,SETORES!B:B,SETORES!A:A)</f>
        <v>14</v>
      </c>
    </row>
    <row r="96" ht="14.25" customHeight="1">
      <c r="A96" s="17" t="s">
        <v>18</v>
      </c>
      <c r="B96" s="17" t="s">
        <v>24</v>
      </c>
      <c r="C96" s="16">
        <v>5.0</v>
      </c>
      <c r="D96" s="17">
        <v>7.0</v>
      </c>
      <c r="E96" s="25">
        <v>10.0</v>
      </c>
      <c r="F96" s="17"/>
      <c r="G96" s="17" t="s">
        <v>130</v>
      </c>
      <c r="H96" s="17">
        <v>95.0</v>
      </c>
      <c r="I96" s="17">
        <f t="array" ref="I96">XLOOKUP(RECUO!$A96,MACROZONAS!B:B,MACROZONAS!A:A)</f>
        <v>4</v>
      </c>
      <c r="J96" s="17">
        <f t="array" ref="J96">XLOOKUP(RECUO!$B96,SETORES!B:B,SETORES!A:A)</f>
        <v>14</v>
      </c>
    </row>
    <row r="97" ht="14.25" customHeight="1">
      <c r="A97" s="17" t="s">
        <v>39</v>
      </c>
      <c r="B97" s="17" t="s">
        <v>24</v>
      </c>
      <c r="C97" s="16">
        <v>10.0</v>
      </c>
      <c r="D97" s="17"/>
      <c r="E97" s="25">
        <v>10.0</v>
      </c>
      <c r="F97" s="17"/>
      <c r="G97" s="17" t="s">
        <v>130</v>
      </c>
      <c r="H97" s="17">
        <v>96.0</v>
      </c>
      <c r="I97" s="17">
        <f t="array" ref="I97">XLOOKUP(RECUO!$A97,MACROZONAS!B:B,MACROZONAS!A:A)</f>
        <v>5</v>
      </c>
      <c r="J97" s="17">
        <f t="array" ref="J97">XLOOKUP(RECUO!$B97,SETORES!B:B,SETORES!A:A)</f>
        <v>14</v>
      </c>
    </row>
    <row r="98" ht="14.25" customHeight="1">
      <c r="A98" s="17" t="s">
        <v>29</v>
      </c>
      <c r="B98" s="17" t="s">
        <v>24</v>
      </c>
      <c r="C98" s="16">
        <v>10.0</v>
      </c>
      <c r="D98" s="17"/>
      <c r="E98" s="25">
        <v>10.0</v>
      </c>
      <c r="F98" s="17"/>
      <c r="G98" s="17" t="s">
        <v>130</v>
      </c>
      <c r="H98" s="17">
        <v>97.0</v>
      </c>
      <c r="I98" s="17">
        <f t="array" ref="I98">XLOOKUP(RECUO!$A98,MACROZONAS!B:B,MACROZONAS!A:A)</f>
        <v>6</v>
      </c>
      <c r="J98" s="17">
        <f t="array" ref="J98">XLOOKUP(RECUO!$B98,SETORES!B:B,SETORES!A:A)</f>
        <v>14</v>
      </c>
    </row>
    <row r="99" ht="14.25" customHeight="1">
      <c r="A99" s="17" t="s">
        <v>43</v>
      </c>
      <c r="B99" s="17" t="s">
        <v>24</v>
      </c>
      <c r="C99" s="16">
        <v>10.0</v>
      </c>
      <c r="D99" s="17"/>
      <c r="E99" s="25">
        <v>10.0</v>
      </c>
      <c r="F99" s="17"/>
      <c r="G99" s="17" t="s">
        <v>130</v>
      </c>
      <c r="H99" s="17">
        <v>98.0</v>
      </c>
      <c r="I99" s="17">
        <f t="array" ref="I99">XLOOKUP(RECUO!$A99,MACROZONAS!B:B,MACROZONAS!A:A)</f>
        <v>7</v>
      </c>
      <c r="J99" s="17">
        <f t="array" ref="J99">XLOOKUP(RECUO!$B99,SETORES!B:B,SETORES!A:A)</f>
        <v>14</v>
      </c>
    </row>
    <row r="100" ht="14.25" customHeight="1">
      <c r="A100" s="17" t="s">
        <v>33</v>
      </c>
      <c r="B100" s="17" t="s">
        <v>23</v>
      </c>
      <c r="C100" s="16">
        <v>5.0</v>
      </c>
      <c r="D100" s="17">
        <v>7.0</v>
      </c>
      <c r="E100" s="25">
        <v>10.0</v>
      </c>
      <c r="F100" s="17"/>
      <c r="G100" s="17" t="s">
        <v>130</v>
      </c>
      <c r="H100" s="17">
        <v>99.0</v>
      </c>
      <c r="I100" s="17">
        <f t="array" ref="I100">XLOOKUP(RECUO!$A100,MACROZONAS!B:B,MACROZONAS!A:A)</f>
        <v>1</v>
      </c>
      <c r="J100" s="17">
        <f t="array" ref="J100">XLOOKUP(RECUO!$B100,SETORES!B:B,SETORES!A:A)</f>
        <v>15</v>
      </c>
    </row>
    <row r="101" ht="14.25" customHeight="1">
      <c r="A101" s="17" t="s">
        <v>28</v>
      </c>
      <c r="B101" s="17" t="s">
        <v>23</v>
      </c>
      <c r="C101" s="16">
        <v>5.0</v>
      </c>
      <c r="D101" s="17">
        <v>7.0</v>
      </c>
      <c r="E101" s="25">
        <v>10.0</v>
      </c>
      <c r="F101" s="17"/>
      <c r="G101" s="17" t="s">
        <v>130</v>
      </c>
      <c r="H101" s="17">
        <v>100.0</v>
      </c>
      <c r="I101" s="17">
        <f t="array" ref="I101">XLOOKUP(RECUO!$A101,MACROZONAS!B:B,MACROZONAS!A:A)</f>
        <v>2</v>
      </c>
      <c r="J101" s="17">
        <f t="array" ref="J101">XLOOKUP(RECUO!$B101,SETORES!B:B,SETORES!A:A)</f>
        <v>15</v>
      </c>
    </row>
    <row r="102" ht="14.25" customHeight="1">
      <c r="A102" s="17" t="s">
        <v>42</v>
      </c>
      <c r="B102" s="17" t="s">
        <v>23</v>
      </c>
      <c r="C102" s="16">
        <v>5.0</v>
      </c>
      <c r="D102" s="17">
        <v>7.0</v>
      </c>
      <c r="E102" s="25">
        <v>10.0</v>
      </c>
      <c r="F102" s="17"/>
      <c r="G102" s="17" t="s">
        <v>130</v>
      </c>
      <c r="H102" s="17">
        <v>101.0</v>
      </c>
      <c r="I102" s="17">
        <f t="array" ref="I102">XLOOKUP(RECUO!$A102,MACROZONAS!B:B,MACROZONAS!A:A)</f>
        <v>3</v>
      </c>
      <c r="J102" s="17">
        <f t="array" ref="J102">XLOOKUP(RECUO!$B102,SETORES!B:B,SETORES!A:A)</f>
        <v>15</v>
      </c>
    </row>
    <row r="103" ht="14.25" customHeight="1">
      <c r="A103" s="17" t="s">
        <v>18</v>
      </c>
      <c r="B103" s="17" t="s">
        <v>23</v>
      </c>
      <c r="C103" s="16">
        <v>5.0</v>
      </c>
      <c r="D103" s="17">
        <v>7.0</v>
      </c>
      <c r="E103" s="25">
        <v>10.0</v>
      </c>
      <c r="F103" s="17"/>
      <c r="G103" s="17" t="s">
        <v>130</v>
      </c>
      <c r="H103" s="17">
        <v>102.0</v>
      </c>
      <c r="I103" s="17">
        <f t="array" ref="I103">XLOOKUP(RECUO!$A103,MACROZONAS!B:B,MACROZONAS!A:A)</f>
        <v>4</v>
      </c>
      <c r="J103" s="17">
        <f t="array" ref="J103">XLOOKUP(RECUO!$B103,SETORES!B:B,SETORES!A:A)</f>
        <v>15</v>
      </c>
    </row>
    <row r="104" ht="14.25" customHeight="1">
      <c r="A104" s="17" t="s">
        <v>39</v>
      </c>
      <c r="B104" s="17" t="s">
        <v>23</v>
      </c>
      <c r="C104" s="16">
        <v>10.0</v>
      </c>
      <c r="D104" s="17"/>
      <c r="E104" s="25">
        <v>10.0</v>
      </c>
      <c r="F104" s="17"/>
      <c r="G104" s="17" t="s">
        <v>130</v>
      </c>
      <c r="H104" s="17">
        <v>103.0</v>
      </c>
      <c r="I104" s="17">
        <f t="array" ref="I104">XLOOKUP(RECUO!$A104,MACROZONAS!B:B,MACROZONAS!A:A)</f>
        <v>5</v>
      </c>
      <c r="J104" s="17">
        <f t="array" ref="J104">XLOOKUP(RECUO!$B104,SETORES!B:B,SETORES!A:A)</f>
        <v>15</v>
      </c>
    </row>
    <row r="105" ht="14.25" customHeight="1">
      <c r="A105" s="17" t="s">
        <v>29</v>
      </c>
      <c r="B105" s="17" t="s">
        <v>23</v>
      </c>
      <c r="C105" s="16">
        <v>10.0</v>
      </c>
      <c r="D105" s="17"/>
      <c r="E105" s="25">
        <v>10.0</v>
      </c>
      <c r="F105" s="17"/>
      <c r="G105" s="17" t="s">
        <v>130</v>
      </c>
      <c r="H105" s="17">
        <v>104.0</v>
      </c>
      <c r="I105" s="17">
        <f t="array" ref="I105">XLOOKUP(RECUO!$A105,MACROZONAS!B:B,MACROZONAS!A:A)</f>
        <v>6</v>
      </c>
      <c r="J105" s="17">
        <f t="array" ref="J105">XLOOKUP(RECUO!$B105,SETORES!B:B,SETORES!A:A)</f>
        <v>15</v>
      </c>
    </row>
    <row r="106" ht="14.25" customHeight="1">
      <c r="A106" s="17" t="s">
        <v>43</v>
      </c>
      <c r="B106" s="17" t="s">
        <v>23</v>
      </c>
      <c r="C106" s="16">
        <v>10.0</v>
      </c>
      <c r="D106" s="17"/>
      <c r="E106" s="25">
        <v>10.0</v>
      </c>
      <c r="F106" s="17"/>
      <c r="G106" s="17" t="s">
        <v>130</v>
      </c>
      <c r="H106" s="17">
        <v>105.0</v>
      </c>
      <c r="I106" s="17">
        <f t="array" ref="I106">XLOOKUP(RECUO!$A106,MACROZONAS!B:B,MACROZONAS!A:A)</f>
        <v>7</v>
      </c>
      <c r="J106" s="17">
        <f t="array" ref="J106">XLOOKUP(RECUO!$B106,SETORES!B:B,SETORES!A:A)</f>
        <v>15</v>
      </c>
    </row>
    <row r="107" ht="14.25" customHeight="1">
      <c r="A107" s="17" t="s">
        <v>33</v>
      </c>
      <c r="B107" s="17" t="s">
        <v>35</v>
      </c>
      <c r="C107" s="16">
        <v>5.0</v>
      </c>
      <c r="D107" s="17">
        <v>7.0</v>
      </c>
      <c r="E107" s="25">
        <v>10.0</v>
      </c>
      <c r="F107" s="17"/>
      <c r="G107" s="17" t="s">
        <v>130</v>
      </c>
      <c r="H107" s="17">
        <v>106.0</v>
      </c>
      <c r="I107" s="17">
        <f t="array" ref="I107">XLOOKUP(RECUO!$A107,MACROZONAS!B:B,MACROZONAS!A:A)</f>
        <v>1</v>
      </c>
      <c r="J107" s="17">
        <f t="array" ref="J107">XLOOKUP(RECUO!$B107,SETORES!B:B,SETORES!A:A)</f>
        <v>16</v>
      </c>
    </row>
    <row r="108" ht="14.25" customHeight="1">
      <c r="A108" s="17" t="s">
        <v>28</v>
      </c>
      <c r="B108" s="17" t="s">
        <v>35</v>
      </c>
      <c r="C108" s="16">
        <v>5.0</v>
      </c>
      <c r="D108" s="17">
        <v>7.0</v>
      </c>
      <c r="E108" s="25">
        <v>10.0</v>
      </c>
      <c r="F108" s="17"/>
      <c r="G108" s="17" t="s">
        <v>130</v>
      </c>
      <c r="H108" s="17">
        <v>107.0</v>
      </c>
      <c r="I108" s="17">
        <f t="array" ref="I108">XLOOKUP(RECUO!$A108,MACROZONAS!B:B,MACROZONAS!A:A)</f>
        <v>2</v>
      </c>
      <c r="J108" s="17">
        <f t="array" ref="J108">XLOOKUP(RECUO!$B108,SETORES!B:B,SETORES!A:A)</f>
        <v>16</v>
      </c>
    </row>
    <row r="109" ht="14.25" customHeight="1">
      <c r="A109" s="17" t="s">
        <v>42</v>
      </c>
      <c r="B109" s="17" t="s">
        <v>35</v>
      </c>
      <c r="C109" s="16">
        <v>5.0</v>
      </c>
      <c r="D109" s="17">
        <v>7.0</v>
      </c>
      <c r="E109" s="25">
        <v>10.0</v>
      </c>
      <c r="F109" s="17"/>
      <c r="G109" s="17" t="s">
        <v>130</v>
      </c>
      <c r="H109" s="17">
        <v>108.0</v>
      </c>
      <c r="I109" s="17">
        <f t="array" ref="I109">XLOOKUP(RECUO!$A109,MACROZONAS!B:B,MACROZONAS!A:A)</f>
        <v>3</v>
      </c>
      <c r="J109" s="17">
        <f t="array" ref="J109">XLOOKUP(RECUO!$B109,SETORES!B:B,SETORES!A:A)</f>
        <v>16</v>
      </c>
    </row>
    <row r="110" ht="14.25" customHeight="1">
      <c r="A110" s="17" t="s">
        <v>18</v>
      </c>
      <c r="B110" s="17" t="s">
        <v>35</v>
      </c>
      <c r="C110" s="16">
        <v>5.0</v>
      </c>
      <c r="D110" s="17">
        <v>7.0</v>
      </c>
      <c r="E110" s="25">
        <v>10.0</v>
      </c>
      <c r="F110" s="17"/>
      <c r="G110" s="17" t="s">
        <v>130</v>
      </c>
      <c r="H110" s="17">
        <v>109.0</v>
      </c>
      <c r="I110" s="17">
        <f t="array" ref="I110">XLOOKUP(RECUO!$A110,MACROZONAS!B:B,MACROZONAS!A:A)</f>
        <v>4</v>
      </c>
      <c r="J110" s="17">
        <f t="array" ref="J110">XLOOKUP(RECUO!$B110,SETORES!B:B,SETORES!A:A)</f>
        <v>16</v>
      </c>
    </row>
    <row r="111" ht="14.25" customHeight="1">
      <c r="A111" s="17" t="s">
        <v>39</v>
      </c>
      <c r="B111" s="17" t="s">
        <v>35</v>
      </c>
      <c r="C111" s="16">
        <v>10.0</v>
      </c>
      <c r="D111" s="17"/>
      <c r="E111" s="25">
        <v>10.0</v>
      </c>
      <c r="F111" s="17"/>
      <c r="G111" s="17" t="s">
        <v>130</v>
      </c>
      <c r="H111" s="17">
        <v>110.0</v>
      </c>
      <c r="I111" s="17">
        <f t="array" ref="I111">XLOOKUP(RECUO!$A111,MACROZONAS!B:B,MACROZONAS!A:A)</f>
        <v>5</v>
      </c>
      <c r="J111" s="17">
        <f t="array" ref="J111">XLOOKUP(RECUO!$B111,SETORES!B:B,SETORES!A:A)</f>
        <v>16</v>
      </c>
    </row>
    <row r="112" ht="14.25" customHeight="1">
      <c r="A112" s="17" t="s">
        <v>29</v>
      </c>
      <c r="B112" s="17" t="s">
        <v>35</v>
      </c>
      <c r="C112" s="16">
        <v>10.0</v>
      </c>
      <c r="D112" s="17"/>
      <c r="E112" s="25">
        <v>10.0</v>
      </c>
      <c r="F112" s="17"/>
      <c r="G112" s="17" t="s">
        <v>130</v>
      </c>
      <c r="H112" s="17">
        <v>111.0</v>
      </c>
      <c r="I112" s="17">
        <f t="array" ref="I112">XLOOKUP(RECUO!$A112,MACROZONAS!B:B,MACROZONAS!A:A)</f>
        <v>6</v>
      </c>
      <c r="J112" s="17">
        <f t="array" ref="J112">XLOOKUP(RECUO!$B112,SETORES!B:B,SETORES!A:A)</f>
        <v>16</v>
      </c>
    </row>
    <row r="113" ht="14.25" customHeight="1">
      <c r="A113" s="17" t="s">
        <v>43</v>
      </c>
      <c r="B113" s="17" t="s">
        <v>35</v>
      </c>
      <c r="C113" s="16">
        <v>10.0</v>
      </c>
      <c r="D113" s="17"/>
      <c r="E113" s="25">
        <v>10.0</v>
      </c>
      <c r="F113" s="17"/>
      <c r="G113" s="17" t="s">
        <v>130</v>
      </c>
      <c r="H113" s="17">
        <v>112.0</v>
      </c>
      <c r="I113" s="17">
        <f t="array" ref="I113">XLOOKUP(RECUO!$A113,MACROZONAS!B:B,MACROZONAS!A:A)</f>
        <v>7</v>
      </c>
      <c r="J113" s="17">
        <f t="array" ref="J113">XLOOKUP(RECUO!$B113,SETORES!B:B,SETORES!A:A)</f>
        <v>16</v>
      </c>
    </row>
    <row r="114" ht="14.25" customHeight="1">
      <c r="A114" s="17" t="s">
        <v>33</v>
      </c>
      <c r="B114" s="17" t="s">
        <v>26</v>
      </c>
      <c r="C114" s="16">
        <v>5.0</v>
      </c>
      <c r="D114" s="17">
        <v>7.0</v>
      </c>
      <c r="E114" s="25">
        <v>10.0</v>
      </c>
      <c r="F114" s="17"/>
      <c r="G114" s="17" t="s">
        <v>130</v>
      </c>
      <c r="H114" s="17">
        <v>113.0</v>
      </c>
      <c r="I114" s="17">
        <f t="array" ref="I114">XLOOKUP(RECUO!$A114,MACROZONAS!B:B,MACROZONAS!A:A)</f>
        <v>1</v>
      </c>
      <c r="J114" s="17">
        <f t="array" ref="J114">XLOOKUP(RECUO!$B114,SETORES!B:B,SETORES!A:A)</f>
        <v>17</v>
      </c>
    </row>
    <row r="115" ht="14.25" customHeight="1">
      <c r="A115" s="17" t="s">
        <v>28</v>
      </c>
      <c r="B115" s="17" t="s">
        <v>26</v>
      </c>
      <c r="C115" s="16">
        <v>5.0</v>
      </c>
      <c r="D115" s="17">
        <v>7.0</v>
      </c>
      <c r="E115" s="25">
        <v>10.0</v>
      </c>
      <c r="F115" s="17"/>
      <c r="G115" s="17" t="s">
        <v>130</v>
      </c>
      <c r="H115" s="17">
        <v>114.0</v>
      </c>
      <c r="I115" s="17">
        <f t="array" ref="I115">XLOOKUP(RECUO!$A115,MACROZONAS!B:B,MACROZONAS!A:A)</f>
        <v>2</v>
      </c>
      <c r="J115" s="17">
        <f t="array" ref="J115">XLOOKUP(RECUO!$B115,SETORES!B:B,SETORES!A:A)</f>
        <v>17</v>
      </c>
    </row>
    <row r="116" ht="14.25" customHeight="1">
      <c r="A116" s="17" t="s">
        <v>42</v>
      </c>
      <c r="B116" s="17" t="s">
        <v>26</v>
      </c>
      <c r="C116" s="16">
        <v>5.0</v>
      </c>
      <c r="D116" s="17">
        <v>7.0</v>
      </c>
      <c r="E116" s="25">
        <v>10.0</v>
      </c>
      <c r="F116" s="17"/>
      <c r="G116" s="17" t="s">
        <v>130</v>
      </c>
      <c r="H116" s="17">
        <v>115.0</v>
      </c>
      <c r="I116" s="17">
        <f t="array" ref="I116">XLOOKUP(RECUO!$A116,MACROZONAS!B:B,MACROZONAS!A:A)</f>
        <v>3</v>
      </c>
      <c r="J116" s="17">
        <f t="array" ref="J116">XLOOKUP(RECUO!$B116,SETORES!B:B,SETORES!A:A)</f>
        <v>17</v>
      </c>
    </row>
    <row r="117" ht="14.25" customHeight="1">
      <c r="A117" s="17" t="s">
        <v>18</v>
      </c>
      <c r="B117" s="17" t="s">
        <v>26</v>
      </c>
      <c r="C117" s="16">
        <v>5.0</v>
      </c>
      <c r="D117" s="17">
        <v>7.0</v>
      </c>
      <c r="E117" s="25">
        <v>10.0</v>
      </c>
      <c r="F117" s="17"/>
      <c r="G117" s="17" t="s">
        <v>130</v>
      </c>
      <c r="H117" s="17">
        <v>116.0</v>
      </c>
      <c r="I117" s="17">
        <f t="array" ref="I117">XLOOKUP(RECUO!$A117,MACROZONAS!B:B,MACROZONAS!A:A)</f>
        <v>4</v>
      </c>
      <c r="J117" s="17">
        <f t="array" ref="J117">XLOOKUP(RECUO!$B117,SETORES!B:B,SETORES!A:A)</f>
        <v>17</v>
      </c>
    </row>
    <row r="118" ht="14.25" customHeight="1">
      <c r="A118" s="17" t="s">
        <v>39</v>
      </c>
      <c r="B118" s="17" t="s">
        <v>26</v>
      </c>
      <c r="C118" s="16">
        <v>10.0</v>
      </c>
      <c r="D118" s="17"/>
      <c r="E118" s="25">
        <v>10.0</v>
      </c>
      <c r="F118" s="17"/>
      <c r="G118" s="17" t="s">
        <v>130</v>
      </c>
      <c r="H118" s="17">
        <v>117.0</v>
      </c>
      <c r="I118" s="17">
        <f t="array" ref="I118">XLOOKUP(RECUO!$A118,MACROZONAS!B:B,MACROZONAS!A:A)</f>
        <v>5</v>
      </c>
      <c r="J118" s="17">
        <f t="array" ref="J118">XLOOKUP(RECUO!$B118,SETORES!B:B,SETORES!A:A)</f>
        <v>17</v>
      </c>
    </row>
    <row r="119" ht="14.25" customHeight="1">
      <c r="A119" s="17" t="s">
        <v>29</v>
      </c>
      <c r="B119" s="17" t="s">
        <v>26</v>
      </c>
      <c r="C119" s="16">
        <v>10.0</v>
      </c>
      <c r="D119" s="17"/>
      <c r="E119" s="25">
        <v>10.0</v>
      </c>
      <c r="F119" s="17"/>
      <c r="G119" s="17" t="s">
        <v>130</v>
      </c>
      <c r="H119" s="17">
        <v>118.0</v>
      </c>
      <c r="I119" s="17">
        <f t="array" ref="I119">XLOOKUP(RECUO!$A119,MACROZONAS!B:B,MACROZONAS!A:A)</f>
        <v>6</v>
      </c>
      <c r="J119" s="17">
        <f t="array" ref="J119">XLOOKUP(RECUO!$B119,SETORES!B:B,SETORES!A:A)</f>
        <v>17</v>
      </c>
    </row>
    <row r="120" ht="14.25" customHeight="1">
      <c r="A120" s="17" t="s">
        <v>43</v>
      </c>
      <c r="B120" s="17" t="s">
        <v>26</v>
      </c>
      <c r="C120" s="16">
        <v>10.0</v>
      </c>
      <c r="D120" s="17"/>
      <c r="E120" s="25">
        <v>10.0</v>
      </c>
      <c r="F120" s="17"/>
      <c r="G120" s="17" t="s">
        <v>130</v>
      </c>
      <c r="H120" s="17">
        <v>119.0</v>
      </c>
      <c r="I120" s="17">
        <f t="array" ref="I120">XLOOKUP(RECUO!$A120,MACROZONAS!B:B,MACROZONAS!A:A)</f>
        <v>7</v>
      </c>
      <c r="J120" s="17">
        <f t="array" ref="J120">XLOOKUP(RECUO!$B120,SETORES!B:B,SETORES!A:A)</f>
        <v>17</v>
      </c>
    </row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dataValidations>
    <dataValidation type="list" allowBlank="1" showErrorMessage="1" sqref="A2:A120">
      <formula1>MACROZONAS!$B$2:$B$8</formula1>
    </dataValidation>
    <dataValidation type="list" allowBlank="1" showErrorMessage="1" sqref="B2:B120">
      <formula1>SETORES!$B$2:$B$18</formula1>
    </dataValidation>
  </dataValidations>
  <printOptions/>
  <pageMargins bottom="0.787401575" footer="0.0" header="0.0" left="0.511811024" right="0.511811024" top="0.787401575"/>
  <pageSetup orientation="landscape"/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1E4F5"/>
    <pageSetUpPr/>
  </sheetPr>
  <sheetViews>
    <sheetView workbookViewId="0"/>
  </sheetViews>
  <sheetFormatPr customHeight="1" defaultColWidth="12.63" defaultRowHeight="15.0"/>
  <cols>
    <col customWidth="1" min="1" max="1" width="23.75"/>
    <col customWidth="1" min="2" max="26" width="27.75"/>
  </cols>
  <sheetData>
    <row r="1" ht="14.25" customHeight="1">
      <c r="A1" s="24" t="s">
        <v>46</v>
      </c>
      <c r="B1" s="24" t="s">
        <v>47</v>
      </c>
      <c r="C1" s="24" t="s">
        <v>6</v>
      </c>
      <c r="D1" s="24" t="s">
        <v>179</v>
      </c>
      <c r="E1" s="24" t="s">
        <v>180</v>
      </c>
      <c r="F1" s="24" t="s">
        <v>181</v>
      </c>
      <c r="G1" s="24" t="s">
        <v>158</v>
      </c>
      <c r="H1" s="24" t="s">
        <v>159</v>
      </c>
      <c r="I1" s="24" t="s">
        <v>160</v>
      </c>
      <c r="J1" s="24" t="s">
        <v>127</v>
      </c>
      <c r="K1" s="24" t="s">
        <v>182</v>
      </c>
      <c r="L1" s="24" t="s">
        <v>183</v>
      </c>
      <c r="M1" s="24" t="s">
        <v>184</v>
      </c>
    </row>
    <row r="2" ht="14.25" customHeight="1">
      <c r="A2" s="17" t="s">
        <v>33</v>
      </c>
      <c r="B2" s="17" t="s">
        <v>12</v>
      </c>
      <c r="C2" s="16" t="s">
        <v>185</v>
      </c>
      <c r="D2" s="16">
        <v>6.0</v>
      </c>
      <c r="E2" s="16">
        <v>1.5</v>
      </c>
      <c r="F2" s="16">
        <v>0.5</v>
      </c>
      <c r="G2" s="17">
        <v>7.0</v>
      </c>
      <c r="H2" s="25" t="s">
        <v>186</v>
      </c>
      <c r="I2" s="17"/>
      <c r="J2" s="17" t="s">
        <v>130</v>
      </c>
      <c r="K2" s="17">
        <v>1.0</v>
      </c>
      <c r="L2" s="17">
        <f t="array" ref="L2">XLOOKUP(REC.L.F!$A2,MACROZONAS!B:B,MACROZONAS!A:A)</f>
        <v>1</v>
      </c>
      <c r="M2" s="17">
        <f t="array" ref="M2">XLOOKUP(REC.L.F!$B2,SETORES!B:B,SETORES!A:A)</f>
        <v>1</v>
      </c>
    </row>
    <row r="3" ht="14.25" customHeight="1">
      <c r="A3" s="17" t="s">
        <v>28</v>
      </c>
      <c r="B3" s="17" t="s">
        <v>12</v>
      </c>
      <c r="C3" s="16" t="s">
        <v>185</v>
      </c>
      <c r="D3" s="16">
        <v>6.0</v>
      </c>
      <c r="E3" s="16">
        <v>1.5</v>
      </c>
      <c r="F3" s="16">
        <v>0.5</v>
      </c>
      <c r="G3" s="17">
        <v>7.0</v>
      </c>
      <c r="H3" s="25" t="s">
        <v>186</v>
      </c>
      <c r="I3" s="17"/>
      <c r="J3" s="17" t="s">
        <v>130</v>
      </c>
      <c r="K3" s="17">
        <v>2.0</v>
      </c>
      <c r="L3" s="17">
        <f t="array" ref="L3">XLOOKUP(REC.L.F!$A3,MACROZONAS!B:B,MACROZONAS!A:A)</f>
        <v>2</v>
      </c>
      <c r="M3" s="17">
        <f t="array" ref="M3">XLOOKUP(REC.L.F!$B3,SETORES!B:B,SETORES!A:A)</f>
        <v>1</v>
      </c>
    </row>
    <row r="4" ht="14.25" customHeight="1">
      <c r="A4" s="17" t="s">
        <v>42</v>
      </c>
      <c r="B4" s="17" t="s">
        <v>12</v>
      </c>
      <c r="C4" s="16" t="s">
        <v>185</v>
      </c>
      <c r="D4" s="16">
        <v>6.0</v>
      </c>
      <c r="E4" s="16">
        <v>1.5</v>
      </c>
      <c r="F4" s="16">
        <v>0.5</v>
      </c>
      <c r="G4" s="17">
        <v>7.0</v>
      </c>
      <c r="H4" s="25" t="s">
        <v>186</v>
      </c>
      <c r="I4" s="17"/>
      <c r="J4" s="17" t="s">
        <v>130</v>
      </c>
      <c r="K4" s="17">
        <v>3.0</v>
      </c>
      <c r="L4" s="17">
        <f t="array" ref="L4">XLOOKUP(REC.L.F!$A4,MACROZONAS!B:B,MACROZONAS!A:A)</f>
        <v>3</v>
      </c>
      <c r="M4" s="17">
        <f t="array" ref="M4">XLOOKUP(REC.L.F!$B4,SETORES!B:B,SETORES!A:A)</f>
        <v>1</v>
      </c>
    </row>
    <row r="5" ht="14.25" customHeight="1">
      <c r="A5" s="17" t="s">
        <v>18</v>
      </c>
      <c r="B5" s="17" t="s">
        <v>12</v>
      </c>
      <c r="C5" s="16" t="s">
        <v>185</v>
      </c>
      <c r="D5" s="16">
        <v>6.0</v>
      </c>
      <c r="E5" s="16">
        <v>1.5</v>
      </c>
      <c r="F5" s="16">
        <v>0.5</v>
      </c>
      <c r="G5" s="17">
        <v>7.0</v>
      </c>
      <c r="H5" s="25" t="s">
        <v>186</v>
      </c>
      <c r="I5" s="17"/>
      <c r="J5" s="17" t="s">
        <v>130</v>
      </c>
      <c r="K5" s="17">
        <v>4.0</v>
      </c>
      <c r="L5" s="17">
        <f t="array" ref="L5">XLOOKUP(REC.L.F!$A5,MACROZONAS!B:B,MACROZONAS!A:A)</f>
        <v>4</v>
      </c>
      <c r="M5" s="17">
        <f t="array" ref="M5">XLOOKUP(REC.L.F!$B5,SETORES!B:B,SETORES!A:A)</f>
        <v>1</v>
      </c>
    </row>
    <row r="6" ht="14.25" customHeight="1">
      <c r="A6" s="17" t="s">
        <v>39</v>
      </c>
      <c r="B6" s="17" t="s">
        <v>12</v>
      </c>
      <c r="C6" s="16">
        <v>5.0</v>
      </c>
      <c r="D6" s="16"/>
      <c r="E6" s="16">
        <v>5.0</v>
      </c>
      <c r="F6" s="16"/>
      <c r="G6" s="17"/>
      <c r="H6" s="25" t="s">
        <v>186</v>
      </c>
      <c r="I6" s="17"/>
      <c r="J6" s="17" t="s">
        <v>130</v>
      </c>
      <c r="K6" s="17">
        <v>5.0</v>
      </c>
      <c r="L6" s="17">
        <f t="array" ref="L6">XLOOKUP(REC.L.F!$A6,MACROZONAS!B:B,MACROZONAS!A:A)</f>
        <v>5</v>
      </c>
      <c r="M6" s="17">
        <f t="array" ref="M6">XLOOKUP(REC.L.F!$B6,SETORES!B:B,SETORES!A:A)</f>
        <v>1</v>
      </c>
    </row>
    <row r="7" ht="14.25" customHeight="1">
      <c r="A7" s="17" t="s">
        <v>29</v>
      </c>
      <c r="B7" s="17" t="s">
        <v>12</v>
      </c>
      <c r="C7" s="16">
        <v>5.0</v>
      </c>
      <c r="D7" s="16"/>
      <c r="E7" s="16">
        <v>5.0</v>
      </c>
      <c r="F7" s="16"/>
      <c r="G7" s="17"/>
      <c r="H7" s="25" t="s">
        <v>186</v>
      </c>
      <c r="I7" s="17"/>
      <c r="J7" s="17" t="s">
        <v>130</v>
      </c>
      <c r="K7" s="17">
        <v>6.0</v>
      </c>
      <c r="L7" s="17">
        <f t="array" ref="L7">XLOOKUP(REC.L.F!$A7,MACROZONAS!B:B,MACROZONAS!A:A)</f>
        <v>6</v>
      </c>
      <c r="M7" s="17">
        <f t="array" ref="M7">XLOOKUP(REC.L.F!$B7,SETORES!B:B,SETORES!A:A)</f>
        <v>1</v>
      </c>
    </row>
    <row r="8" ht="14.25" customHeight="1">
      <c r="A8" s="17" t="s">
        <v>43</v>
      </c>
      <c r="B8" s="17" t="s">
        <v>12</v>
      </c>
      <c r="C8" s="16">
        <v>5.0</v>
      </c>
      <c r="D8" s="16"/>
      <c r="E8" s="16">
        <v>5.0</v>
      </c>
      <c r="F8" s="16"/>
      <c r="G8" s="17"/>
      <c r="H8" s="25" t="s">
        <v>186</v>
      </c>
      <c r="I8" s="17"/>
      <c r="J8" s="17" t="s">
        <v>130</v>
      </c>
      <c r="K8" s="17">
        <v>7.0</v>
      </c>
      <c r="L8" s="17">
        <f t="array" ref="L8">XLOOKUP(REC.L.F!$A8,MACROZONAS!B:B,MACROZONAS!A:A)</f>
        <v>7</v>
      </c>
      <c r="M8" s="17">
        <f t="array" ref="M8">XLOOKUP(REC.L.F!$B8,SETORES!B:B,SETORES!A:A)</f>
        <v>1</v>
      </c>
    </row>
    <row r="9" ht="14.25" customHeight="1">
      <c r="A9" s="17" t="s">
        <v>33</v>
      </c>
      <c r="B9" s="17" t="s">
        <v>34</v>
      </c>
      <c r="C9" s="16" t="s">
        <v>185</v>
      </c>
      <c r="D9" s="16">
        <v>6.0</v>
      </c>
      <c r="E9" s="16">
        <v>1.5</v>
      </c>
      <c r="F9" s="16">
        <v>0.5</v>
      </c>
      <c r="G9" s="17">
        <v>7.0</v>
      </c>
      <c r="H9" s="25" t="s">
        <v>186</v>
      </c>
      <c r="I9" s="17"/>
      <c r="J9" s="17" t="s">
        <v>130</v>
      </c>
      <c r="K9" s="17">
        <v>8.0</v>
      </c>
      <c r="L9" s="17">
        <f t="array" ref="L9">XLOOKUP(REC.L.F!$A9,MACROZONAS!B:B,MACROZONAS!A:A)</f>
        <v>1</v>
      </c>
      <c r="M9" s="17">
        <f t="array" ref="M9">XLOOKUP(REC.L.F!$B9,SETORES!B:B,SETORES!A:A)</f>
        <v>2</v>
      </c>
    </row>
    <row r="10" ht="14.25" customHeight="1">
      <c r="A10" s="17" t="s">
        <v>28</v>
      </c>
      <c r="B10" s="17" t="s">
        <v>34</v>
      </c>
      <c r="C10" s="16" t="s">
        <v>185</v>
      </c>
      <c r="D10" s="16">
        <v>6.0</v>
      </c>
      <c r="E10" s="16">
        <v>1.5</v>
      </c>
      <c r="F10" s="16">
        <v>0.5</v>
      </c>
      <c r="G10" s="17">
        <v>7.0</v>
      </c>
      <c r="H10" s="25" t="s">
        <v>186</v>
      </c>
      <c r="I10" s="17"/>
      <c r="J10" s="17" t="s">
        <v>130</v>
      </c>
      <c r="K10" s="17">
        <v>9.0</v>
      </c>
      <c r="L10" s="17">
        <f t="array" ref="L10">XLOOKUP(REC.L.F!$A10,MACROZONAS!B:B,MACROZONAS!A:A)</f>
        <v>2</v>
      </c>
      <c r="M10" s="17">
        <f t="array" ref="M10">XLOOKUP(REC.L.F!$B10,SETORES!B:B,SETORES!A:A)</f>
        <v>2</v>
      </c>
    </row>
    <row r="11" ht="14.25" customHeight="1">
      <c r="A11" s="17" t="s">
        <v>42</v>
      </c>
      <c r="B11" s="17" t="s">
        <v>34</v>
      </c>
      <c r="C11" s="16" t="s">
        <v>185</v>
      </c>
      <c r="D11" s="16">
        <v>6.0</v>
      </c>
      <c r="E11" s="16">
        <v>1.5</v>
      </c>
      <c r="F11" s="16">
        <v>0.5</v>
      </c>
      <c r="G11" s="17">
        <v>7.0</v>
      </c>
      <c r="H11" s="25" t="s">
        <v>186</v>
      </c>
      <c r="I11" s="17"/>
      <c r="J11" s="17" t="s">
        <v>130</v>
      </c>
      <c r="K11" s="17">
        <v>10.0</v>
      </c>
      <c r="L11" s="17">
        <f t="array" ref="L11">XLOOKUP(REC.L.F!$A11,MACROZONAS!B:B,MACROZONAS!A:A)</f>
        <v>3</v>
      </c>
      <c r="M11" s="17">
        <f t="array" ref="M11">XLOOKUP(REC.L.F!$B11,SETORES!B:B,SETORES!A:A)</f>
        <v>2</v>
      </c>
    </row>
    <row r="12" ht="14.25" customHeight="1">
      <c r="A12" s="17" t="s">
        <v>18</v>
      </c>
      <c r="B12" s="17" t="s">
        <v>34</v>
      </c>
      <c r="C12" s="16" t="s">
        <v>185</v>
      </c>
      <c r="D12" s="16">
        <v>6.0</v>
      </c>
      <c r="E12" s="16">
        <v>1.5</v>
      </c>
      <c r="F12" s="16">
        <v>0.5</v>
      </c>
      <c r="G12" s="17">
        <v>7.0</v>
      </c>
      <c r="H12" s="25" t="s">
        <v>186</v>
      </c>
      <c r="I12" s="17"/>
      <c r="J12" s="17" t="s">
        <v>130</v>
      </c>
      <c r="K12" s="17">
        <v>11.0</v>
      </c>
      <c r="L12" s="17">
        <f t="array" ref="L12">XLOOKUP(REC.L.F!$A12,MACROZONAS!B:B,MACROZONAS!A:A)</f>
        <v>4</v>
      </c>
      <c r="M12" s="17">
        <f t="array" ref="M12">XLOOKUP(REC.L.F!$B12,SETORES!B:B,SETORES!A:A)</f>
        <v>2</v>
      </c>
    </row>
    <row r="13" ht="14.25" customHeight="1">
      <c r="A13" s="17" t="s">
        <v>39</v>
      </c>
      <c r="B13" s="17" t="s">
        <v>34</v>
      </c>
      <c r="C13" s="16">
        <v>5.0</v>
      </c>
      <c r="D13" s="16"/>
      <c r="E13" s="16">
        <v>5.0</v>
      </c>
      <c r="F13" s="16"/>
      <c r="G13" s="17"/>
      <c r="H13" s="25" t="s">
        <v>186</v>
      </c>
      <c r="I13" s="17"/>
      <c r="J13" s="17" t="s">
        <v>130</v>
      </c>
      <c r="K13" s="17">
        <v>12.0</v>
      </c>
      <c r="L13" s="17">
        <f t="array" ref="L13">XLOOKUP(REC.L.F!$A13,MACROZONAS!B:B,MACROZONAS!A:A)</f>
        <v>5</v>
      </c>
      <c r="M13" s="17">
        <f t="array" ref="M13">XLOOKUP(REC.L.F!$B13,SETORES!B:B,SETORES!A:A)</f>
        <v>2</v>
      </c>
    </row>
    <row r="14" ht="14.25" customHeight="1">
      <c r="A14" s="17" t="s">
        <v>29</v>
      </c>
      <c r="B14" s="17" t="s">
        <v>34</v>
      </c>
      <c r="C14" s="16">
        <v>5.0</v>
      </c>
      <c r="D14" s="16"/>
      <c r="E14" s="16">
        <v>5.0</v>
      </c>
      <c r="F14" s="16"/>
      <c r="G14" s="17"/>
      <c r="H14" s="25" t="s">
        <v>186</v>
      </c>
      <c r="I14" s="17"/>
      <c r="J14" s="17" t="s">
        <v>130</v>
      </c>
      <c r="K14" s="17">
        <v>13.0</v>
      </c>
      <c r="L14" s="17">
        <f t="array" ref="L14">XLOOKUP(REC.L.F!$A14,MACROZONAS!B:B,MACROZONAS!A:A)</f>
        <v>6</v>
      </c>
      <c r="M14" s="17">
        <f t="array" ref="M14">XLOOKUP(REC.L.F!$B14,SETORES!B:B,SETORES!A:A)</f>
        <v>2</v>
      </c>
    </row>
    <row r="15" ht="14.25" customHeight="1">
      <c r="A15" s="17" t="s">
        <v>43</v>
      </c>
      <c r="B15" s="17" t="s">
        <v>34</v>
      </c>
      <c r="C15" s="16">
        <v>5.0</v>
      </c>
      <c r="D15" s="16"/>
      <c r="E15" s="16">
        <v>5.0</v>
      </c>
      <c r="F15" s="16"/>
      <c r="G15" s="17"/>
      <c r="H15" s="25" t="s">
        <v>186</v>
      </c>
      <c r="I15" s="17"/>
      <c r="J15" s="17" t="s">
        <v>130</v>
      </c>
      <c r="K15" s="17">
        <v>14.0</v>
      </c>
      <c r="L15" s="17">
        <f t="array" ref="L15">XLOOKUP(REC.L.F!$A15,MACROZONAS!B:B,MACROZONAS!A:A)</f>
        <v>7</v>
      </c>
      <c r="M15" s="17">
        <f t="array" ref="M15">XLOOKUP(REC.L.F!$B15,SETORES!B:B,SETORES!A:A)</f>
        <v>2</v>
      </c>
    </row>
    <row r="16" ht="14.25" customHeight="1">
      <c r="A16" s="17" t="s">
        <v>33</v>
      </c>
      <c r="B16" s="17" t="s">
        <v>41</v>
      </c>
      <c r="C16" s="16" t="s">
        <v>185</v>
      </c>
      <c r="D16" s="16">
        <v>6.0</v>
      </c>
      <c r="E16" s="16">
        <v>1.5</v>
      </c>
      <c r="F16" s="16">
        <v>0.5</v>
      </c>
      <c r="G16" s="17">
        <v>7.0</v>
      </c>
      <c r="H16" s="25" t="s">
        <v>186</v>
      </c>
      <c r="I16" s="17"/>
      <c r="J16" s="17" t="s">
        <v>130</v>
      </c>
      <c r="K16" s="17">
        <v>15.0</v>
      </c>
      <c r="L16" s="17">
        <f t="array" ref="L16">XLOOKUP(REC.L.F!$A16,MACROZONAS!B:B,MACROZONAS!A:A)</f>
        <v>1</v>
      </c>
      <c r="M16" s="17">
        <f t="array" ref="M16">XLOOKUP(REC.L.F!$B16,SETORES!B:B,SETORES!A:A)</f>
        <v>3</v>
      </c>
    </row>
    <row r="17" ht="14.25" customHeight="1">
      <c r="A17" s="17" t="s">
        <v>28</v>
      </c>
      <c r="B17" s="17" t="s">
        <v>41</v>
      </c>
      <c r="C17" s="16" t="s">
        <v>185</v>
      </c>
      <c r="D17" s="16">
        <v>6.0</v>
      </c>
      <c r="E17" s="16">
        <v>1.5</v>
      </c>
      <c r="F17" s="16">
        <v>0.5</v>
      </c>
      <c r="G17" s="17">
        <v>7.0</v>
      </c>
      <c r="H17" s="25" t="s">
        <v>186</v>
      </c>
      <c r="I17" s="17"/>
      <c r="J17" s="17" t="s">
        <v>130</v>
      </c>
      <c r="K17" s="17">
        <v>16.0</v>
      </c>
      <c r="L17" s="17">
        <f t="array" ref="L17">XLOOKUP(REC.L.F!$A17,MACROZONAS!B:B,MACROZONAS!A:A)</f>
        <v>2</v>
      </c>
      <c r="M17" s="17">
        <f t="array" ref="M17">XLOOKUP(REC.L.F!$B17,SETORES!B:B,SETORES!A:A)</f>
        <v>3</v>
      </c>
    </row>
    <row r="18" ht="14.25" customHeight="1">
      <c r="A18" s="17" t="s">
        <v>42</v>
      </c>
      <c r="B18" s="17" t="s">
        <v>41</v>
      </c>
      <c r="C18" s="16" t="s">
        <v>185</v>
      </c>
      <c r="D18" s="16">
        <v>6.0</v>
      </c>
      <c r="E18" s="16">
        <v>1.5</v>
      </c>
      <c r="F18" s="16">
        <v>0.5</v>
      </c>
      <c r="G18" s="17">
        <v>7.0</v>
      </c>
      <c r="H18" s="25" t="s">
        <v>186</v>
      </c>
      <c r="I18" s="17"/>
      <c r="J18" s="17" t="s">
        <v>130</v>
      </c>
      <c r="K18" s="17">
        <v>17.0</v>
      </c>
      <c r="L18" s="17">
        <f t="array" ref="L18">XLOOKUP(REC.L.F!$A18,MACROZONAS!B:B,MACROZONAS!A:A)</f>
        <v>3</v>
      </c>
      <c r="M18" s="17">
        <f t="array" ref="M18">XLOOKUP(REC.L.F!$B18,SETORES!B:B,SETORES!A:A)</f>
        <v>3</v>
      </c>
    </row>
    <row r="19" ht="14.25" customHeight="1">
      <c r="A19" s="17" t="s">
        <v>18</v>
      </c>
      <c r="B19" s="17" t="s">
        <v>41</v>
      </c>
      <c r="C19" s="16" t="s">
        <v>185</v>
      </c>
      <c r="D19" s="16">
        <v>6.0</v>
      </c>
      <c r="E19" s="16">
        <v>1.5</v>
      </c>
      <c r="F19" s="16">
        <v>0.5</v>
      </c>
      <c r="G19" s="17">
        <v>7.0</v>
      </c>
      <c r="H19" s="25" t="s">
        <v>186</v>
      </c>
      <c r="I19" s="17"/>
      <c r="J19" s="17" t="s">
        <v>130</v>
      </c>
      <c r="K19" s="17">
        <v>18.0</v>
      </c>
      <c r="L19" s="17">
        <f t="array" ref="L19">XLOOKUP(REC.L.F!$A19,MACROZONAS!B:B,MACROZONAS!A:A)</f>
        <v>4</v>
      </c>
      <c r="M19" s="17">
        <f t="array" ref="M19">XLOOKUP(REC.L.F!$B19,SETORES!B:B,SETORES!A:A)</f>
        <v>3</v>
      </c>
    </row>
    <row r="20" ht="14.25" customHeight="1">
      <c r="A20" s="17" t="s">
        <v>39</v>
      </c>
      <c r="B20" s="17" t="s">
        <v>41</v>
      </c>
      <c r="C20" s="16">
        <v>5.0</v>
      </c>
      <c r="D20" s="16"/>
      <c r="E20" s="16">
        <v>5.0</v>
      </c>
      <c r="F20" s="16"/>
      <c r="G20" s="17"/>
      <c r="H20" s="25" t="s">
        <v>186</v>
      </c>
      <c r="I20" s="17"/>
      <c r="J20" s="17" t="s">
        <v>130</v>
      </c>
      <c r="K20" s="17">
        <v>19.0</v>
      </c>
      <c r="L20" s="17">
        <f t="array" ref="L20">XLOOKUP(REC.L.F!$A20,MACROZONAS!B:B,MACROZONAS!A:A)</f>
        <v>5</v>
      </c>
      <c r="M20" s="17">
        <f t="array" ref="M20">XLOOKUP(REC.L.F!$B20,SETORES!B:B,SETORES!A:A)</f>
        <v>3</v>
      </c>
    </row>
    <row r="21" ht="14.25" customHeight="1">
      <c r="A21" s="17" t="s">
        <v>29</v>
      </c>
      <c r="B21" s="17" t="s">
        <v>41</v>
      </c>
      <c r="C21" s="16">
        <v>5.0</v>
      </c>
      <c r="D21" s="16"/>
      <c r="E21" s="16">
        <v>5.0</v>
      </c>
      <c r="F21" s="16"/>
      <c r="G21" s="17"/>
      <c r="H21" s="25" t="s">
        <v>186</v>
      </c>
      <c r="I21" s="17"/>
      <c r="J21" s="17" t="s">
        <v>130</v>
      </c>
      <c r="K21" s="17">
        <v>20.0</v>
      </c>
      <c r="L21" s="17">
        <f t="array" ref="L21">XLOOKUP(REC.L.F!$A21,MACROZONAS!B:B,MACROZONAS!A:A)</f>
        <v>6</v>
      </c>
      <c r="M21" s="17">
        <f t="array" ref="M21">XLOOKUP(REC.L.F!$B21,SETORES!B:B,SETORES!A:A)</f>
        <v>3</v>
      </c>
    </row>
    <row r="22" ht="14.25" customHeight="1">
      <c r="A22" s="17" t="s">
        <v>43</v>
      </c>
      <c r="B22" s="17" t="s">
        <v>41</v>
      </c>
      <c r="C22" s="16">
        <v>5.0</v>
      </c>
      <c r="D22" s="16"/>
      <c r="E22" s="16">
        <v>5.0</v>
      </c>
      <c r="F22" s="16"/>
      <c r="G22" s="17"/>
      <c r="H22" s="25" t="s">
        <v>186</v>
      </c>
      <c r="I22" s="17"/>
      <c r="J22" s="17" t="s">
        <v>130</v>
      </c>
      <c r="K22" s="17">
        <v>21.0</v>
      </c>
      <c r="L22" s="17">
        <f t="array" ref="L22">XLOOKUP(REC.L.F!$A22,MACROZONAS!B:B,MACROZONAS!A:A)</f>
        <v>7</v>
      </c>
      <c r="M22" s="17">
        <f t="array" ref="M22">XLOOKUP(REC.L.F!$B22,SETORES!B:B,SETORES!A:A)</f>
        <v>3</v>
      </c>
    </row>
    <row r="23" ht="14.25" customHeight="1">
      <c r="A23" s="17" t="s">
        <v>33</v>
      </c>
      <c r="B23" s="17" t="s">
        <v>25</v>
      </c>
      <c r="C23" s="16" t="s">
        <v>185</v>
      </c>
      <c r="D23" s="16">
        <v>6.0</v>
      </c>
      <c r="E23" s="16">
        <v>1.5</v>
      </c>
      <c r="F23" s="16">
        <v>0.5</v>
      </c>
      <c r="G23" s="17">
        <v>7.0</v>
      </c>
      <c r="H23" s="25" t="s">
        <v>186</v>
      </c>
      <c r="I23" s="17"/>
      <c r="J23" s="17" t="s">
        <v>130</v>
      </c>
      <c r="K23" s="17">
        <v>22.0</v>
      </c>
      <c r="L23" s="17">
        <f t="array" ref="L23">XLOOKUP(REC.L.F!$A23,MACROZONAS!B:B,MACROZONAS!A:A)</f>
        <v>1</v>
      </c>
      <c r="M23" s="17">
        <f t="array" ref="M23">XLOOKUP(REC.L.F!$B23,SETORES!B:B,SETORES!A:A)</f>
        <v>4</v>
      </c>
    </row>
    <row r="24" ht="14.25" customHeight="1">
      <c r="A24" s="17" t="s">
        <v>28</v>
      </c>
      <c r="B24" s="17" t="s">
        <v>25</v>
      </c>
      <c r="C24" s="16" t="s">
        <v>185</v>
      </c>
      <c r="D24" s="16">
        <v>6.0</v>
      </c>
      <c r="E24" s="16">
        <v>1.5</v>
      </c>
      <c r="F24" s="16">
        <v>0.5</v>
      </c>
      <c r="G24" s="17">
        <v>7.0</v>
      </c>
      <c r="H24" s="25" t="s">
        <v>186</v>
      </c>
      <c r="I24" s="17"/>
      <c r="J24" s="17" t="s">
        <v>130</v>
      </c>
      <c r="K24" s="17">
        <v>23.0</v>
      </c>
      <c r="L24" s="17">
        <f t="array" ref="L24">XLOOKUP(REC.L.F!$A24,MACROZONAS!B:B,MACROZONAS!A:A)</f>
        <v>2</v>
      </c>
      <c r="M24" s="17">
        <f t="array" ref="M24">XLOOKUP(REC.L.F!$B24,SETORES!B:B,SETORES!A:A)</f>
        <v>4</v>
      </c>
    </row>
    <row r="25" ht="14.25" customHeight="1">
      <c r="A25" s="17" t="s">
        <v>42</v>
      </c>
      <c r="B25" s="17" t="s">
        <v>25</v>
      </c>
      <c r="C25" s="16" t="s">
        <v>185</v>
      </c>
      <c r="D25" s="16">
        <v>6.0</v>
      </c>
      <c r="E25" s="16">
        <v>1.5</v>
      </c>
      <c r="F25" s="16">
        <v>0.5</v>
      </c>
      <c r="G25" s="17">
        <v>7.0</v>
      </c>
      <c r="H25" s="25" t="s">
        <v>186</v>
      </c>
      <c r="I25" s="17"/>
      <c r="J25" s="17" t="s">
        <v>130</v>
      </c>
      <c r="K25" s="17">
        <v>24.0</v>
      </c>
      <c r="L25" s="17">
        <f t="array" ref="L25">XLOOKUP(REC.L.F!$A25,MACROZONAS!B:B,MACROZONAS!A:A)</f>
        <v>3</v>
      </c>
      <c r="M25" s="17">
        <f t="array" ref="M25">XLOOKUP(REC.L.F!$B25,SETORES!B:B,SETORES!A:A)</f>
        <v>4</v>
      </c>
    </row>
    <row r="26" ht="14.25" customHeight="1">
      <c r="A26" s="17" t="s">
        <v>18</v>
      </c>
      <c r="B26" s="17" t="s">
        <v>25</v>
      </c>
      <c r="C26" s="16" t="s">
        <v>185</v>
      </c>
      <c r="D26" s="16">
        <v>6.0</v>
      </c>
      <c r="E26" s="16">
        <v>1.5</v>
      </c>
      <c r="F26" s="16">
        <v>0.5</v>
      </c>
      <c r="G26" s="17">
        <v>7.0</v>
      </c>
      <c r="H26" s="25" t="s">
        <v>186</v>
      </c>
      <c r="I26" s="17"/>
      <c r="J26" s="17" t="s">
        <v>130</v>
      </c>
      <c r="K26" s="17">
        <v>25.0</v>
      </c>
      <c r="L26" s="17">
        <f t="array" ref="L26">XLOOKUP(REC.L.F!$A26,MACROZONAS!B:B,MACROZONAS!A:A)</f>
        <v>4</v>
      </c>
      <c r="M26" s="17">
        <f t="array" ref="M26">XLOOKUP(REC.L.F!$B26,SETORES!B:B,SETORES!A:A)</f>
        <v>4</v>
      </c>
    </row>
    <row r="27" ht="14.25" customHeight="1">
      <c r="A27" s="17" t="s">
        <v>39</v>
      </c>
      <c r="B27" s="17" t="s">
        <v>25</v>
      </c>
      <c r="C27" s="16">
        <v>5.0</v>
      </c>
      <c r="D27" s="16"/>
      <c r="E27" s="16">
        <v>5.0</v>
      </c>
      <c r="F27" s="16"/>
      <c r="G27" s="25"/>
      <c r="H27" s="25" t="s">
        <v>186</v>
      </c>
      <c r="I27" s="25"/>
      <c r="J27" s="17" t="s">
        <v>130</v>
      </c>
      <c r="K27" s="17">
        <v>26.0</v>
      </c>
      <c r="L27" s="17">
        <f t="array" ref="L27">XLOOKUP(REC.L.F!$A27,MACROZONAS!B:B,MACROZONAS!A:A)</f>
        <v>5</v>
      </c>
      <c r="M27" s="17">
        <f t="array" ref="M27">XLOOKUP(REC.L.F!$B27,SETORES!B:B,SETORES!A:A)</f>
        <v>4</v>
      </c>
    </row>
    <row r="28" ht="14.25" customHeight="1">
      <c r="A28" s="17" t="s">
        <v>29</v>
      </c>
      <c r="B28" s="17" t="s">
        <v>25</v>
      </c>
      <c r="C28" s="16">
        <v>5.0</v>
      </c>
      <c r="D28" s="16"/>
      <c r="E28" s="16">
        <v>5.0</v>
      </c>
      <c r="F28" s="16"/>
      <c r="G28" s="17"/>
      <c r="H28" s="25" t="s">
        <v>186</v>
      </c>
      <c r="I28" s="17"/>
      <c r="J28" s="17" t="s">
        <v>130</v>
      </c>
      <c r="K28" s="17">
        <v>27.0</v>
      </c>
      <c r="L28" s="17">
        <f t="array" ref="L28">XLOOKUP(REC.L.F!$A28,MACROZONAS!B:B,MACROZONAS!A:A)</f>
        <v>6</v>
      </c>
      <c r="M28" s="17">
        <f t="array" ref="M28">XLOOKUP(REC.L.F!$B28,SETORES!B:B,SETORES!A:A)</f>
        <v>4</v>
      </c>
    </row>
    <row r="29" ht="14.25" customHeight="1">
      <c r="A29" s="17" t="s">
        <v>43</v>
      </c>
      <c r="B29" s="17" t="s">
        <v>25</v>
      </c>
      <c r="C29" s="16">
        <v>5.0</v>
      </c>
      <c r="D29" s="16"/>
      <c r="E29" s="16">
        <v>5.0</v>
      </c>
      <c r="F29" s="16"/>
      <c r="G29" s="17"/>
      <c r="H29" s="25" t="s">
        <v>186</v>
      </c>
      <c r="I29" s="17"/>
      <c r="J29" s="17" t="s">
        <v>130</v>
      </c>
      <c r="K29" s="17">
        <v>28.0</v>
      </c>
      <c r="L29" s="17">
        <f t="array" ref="L29">XLOOKUP(REC.L.F!$A29,MACROZONAS!B:B,MACROZONAS!A:A)</f>
        <v>7</v>
      </c>
      <c r="M29" s="17">
        <f t="array" ref="M29">XLOOKUP(REC.L.F!$B29,SETORES!B:B,SETORES!A:A)</f>
        <v>4</v>
      </c>
    </row>
    <row r="30" ht="14.25" customHeight="1">
      <c r="A30" s="17" t="s">
        <v>33</v>
      </c>
      <c r="B30" s="17" t="s">
        <v>17</v>
      </c>
      <c r="C30" s="16" t="s">
        <v>185</v>
      </c>
      <c r="D30" s="16">
        <v>6.0</v>
      </c>
      <c r="E30" s="16">
        <v>1.5</v>
      </c>
      <c r="F30" s="16">
        <v>0.5</v>
      </c>
      <c r="G30" s="17">
        <v>7.0</v>
      </c>
      <c r="H30" s="25" t="s">
        <v>186</v>
      </c>
      <c r="I30" s="17"/>
      <c r="J30" s="17" t="s">
        <v>130</v>
      </c>
      <c r="K30" s="17">
        <v>29.0</v>
      </c>
      <c r="L30" s="17">
        <f t="array" ref="L30">XLOOKUP(REC.L.F!$A30,MACROZONAS!B:B,MACROZONAS!A:A)</f>
        <v>1</v>
      </c>
      <c r="M30" s="17">
        <f t="array" ref="M30">XLOOKUP(REC.L.F!$B30,SETORES!B:B,SETORES!A:A)</f>
        <v>5</v>
      </c>
    </row>
    <row r="31" ht="14.25" customHeight="1">
      <c r="A31" s="17" t="s">
        <v>28</v>
      </c>
      <c r="B31" s="17" t="s">
        <v>17</v>
      </c>
      <c r="C31" s="16" t="s">
        <v>185</v>
      </c>
      <c r="D31" s="16">
        <v>6.0</v>
      </c>
      <c r="E31" s="16">
        <v>1.5</v>
      </c>
      <c r="F31" s="16">
        <v>0.5</v>
      </c>
      <c r="G31" s="17">
        <v>7.0</v>
      </c>
      <c r="H31" s="25" t="s">
        <v>186</v>
      </c>
      <c r="I31" s="17"/>
      <c r="J31" s="17" t="s">
        <v>130</v>
      </c>
      <c r="K31" s="17">
        <v>30.0</v>
      </c>
      <c r="L31" s="17">
        <f t="array" ref="L31">XLOOKUP(REC.L.F!$A31,MACROZONAS!B:B,MACROZONAS!A:A)</f>
        <v>2</v>
      </c>
      <c r="M31" s="17">
        <f t="array" ref="M31">XLOOKUP(REC.L.F!$B31,SETORES!B:B,SETORES!A:A)</f>
        <v>5</v>
      </c>
    </row>
    <row r="32" ht="14.25" customHeight="1">
      <c r="A32" s="17" t="s">
        <v>42</v>
      </c>
      <c r="B32" s="17" t="s">
        <v>17</v>
      </c>
      <c r="C32" s="16" t="s">
        <v>185</v>
      </c>
      <c r="D32" s="16">
        <v>6.0</v>
      </c>
      <c r="E32" s="16">
        <v>1.5</v>
      </c>
      <c r="F32" s="16">
        <v>0.5</v>
      </c>
      <c r="G32" s="17">
        <v>7.0</v>
      </c>
      <c r="H32" s="25" t="s">
        <v>186</v>
      </c>
      <c r="I32" s="17"/>
      <c r="J32" s="17" t="s">
        <v>130</v>
      </c>
      <c r="K32" s="17">
        <v>31.0</v>
      </c>
      <c r="L32" s="17">
        <f t="array" ref="L32">XLOOKUP(REC.L.F!$A32,MACROZONAS!B:B,MACROZONAS!A:A)</f>
        <v>3</v>
      </c>
      <c r="M32" s="17">
        <f t="array" ref="M32">XLOOKUP(REC.L.F!$B32,SETORES!B:B,SETORES!A:A)</f>
        <v>5</v>
      </c>
    </row>
    <row r="33" ht="14.25" customHeight="1">
      <c r="A33" s="17" t="s">
        <v>18</v>
      </c>
      <c r="B33" s="17" t="s">
        <v>17</v>
      </c>
      <c r="C33" s="16" t="s">
        <v>185</v>
      </c>
      <c r="D33" s="16">
        <v>6.0</v>
      </c>
      <c r="E33" s="16">
        <v>1.5</v>
      </c>
      <c r="F33" s="16">
        <v>0.5</v>
      </c>
      <c r="G33" s="17">
        <v>7.0</v>
      </c>
      <c r="H33" s="25" t="s">
        <v>186</v>
      </c>
      <c r="I33" s="17"/>
      <c r="J33" s="17" t="s">
        <v>130</v>
      </c>
      <c r="K33" s="17">
        <v>32.0</v>
      </c>
      <c r="L33" s="17">
        <f t="array" ref="L33">XLOOKUP(REC.L.F!$A33,MACROZONAS!B:B,MACROZONAS!A:A)</f>
        <v>4</v>
      </c>
      <c r="M33" s="17">
        <f t="array" ref="M33">XLOOKUP(REC.L.F!$B33,SETORES!B:B,SETORES!A:A)</f>
        <v>5</v>
      </c>
    </row>
    <row r="34" ht="14.25" customHeight="1">
      <c r="A34" s="17" t="s">
        <v>39</v>
      </c>
      <c r="B34" s="17" t="s">
        <v>17</v>
      </c>
      <c r="C34" s="16">
        <v>5.0</v>
      </c>
      <c r="D34" s="16"/>
      <c r="E34" s="16">
        <v>5.0</v>
      </c>
      <c r="F34" s="16"/>
      <c r="G34" s="17"/>
      <c r="H34" s="25" t="s">
        <v>186</v>
      </c>
      <c r="I34" s="17"/>
      <c r="J34" s="17" t="s">
        <v>130</v>
      </c>
      <c r="K34" s="17">
        <v>33.0</v>
      </c>
      <c r="L34" s="17">
        <f t="array" ref="L34">XLOOKUP(REC.L.F!$A34,MACROZONAS!B:B,MACROZONAS!A:A)</f>
        <v>5</v>
      </c>
      <c r="M34" s="17">
        <f t="array" ref="M34">XLOOKUP(REC.L.F!$B34,SETORES!B:B,SETORES!A:A)</f>
        <v>5</v>
      </c>
    </row>
    <row r="35" ht="14.25" customHeight="1">
      <c r="A35" s="17" t="s">
        <v>29</v>
      </c>
      <c r="B35" s="17" t="s">
        <v>17</v>
      </c>
      <c r="C35" s="16">
        <v>5.0</v>
      </c>
      <c r="D35" s="16"/>
      <c r="E35" s="16">
        <v>5.0</v>
      </c>
      <c r="F35" s="16"/>
      <c r="G35" s="17"/>
      <c r="H35" s="25" t="s">
        <v>186</v>
      </c>
      <c r="I35" s="17"/>
      <c r="J35" s="17" t="s">
        <v>130</v>
      </c>
      <c r="K35" s="17">
        <v>34.0</v>
      </c>
      <c r="L35" s="17">
        <f t="array" ref="L35">XLOOKUP(REC.L.F!$A35,MACROZONAS!B:B,MACROZONAS!A:A)</f>
        <v>6</v>
      </c>
      <c r="M35" s="17">
        <f t="array" ref="M35">XLOOKUP(REC.L.F!$B35,SETORES!B:B,SETORES!A:A)</f>
        <v>5</v>
      </c>
    </row>
    <row r="36" ht="14.25" customHeight="1">
      <c r="A36" s="17" t="s">
        <v>43</v>
      </c>
      <c r="B36" s="17" t="s">
        <v>17</v>
      </c>
      <c r="C36" s="16">
        <v>5.0</v>
      </c>
      <c r="D36" s="16"/>
      <c r="E36" s="16">
        <v>5.0</v>
      </c>
      <c r="F36" s="16"/>
      <c r="G36" s="17"/>
      <c r="H36" s="25" t="s">
        <v>186</v>
      </c>
      <c r="I36" s="17"/>
      <c r="J36" s="17" t="s">
        <v>130</v>
      </c>
      <c r="K36" s="17">
        <v>35.0</v>
      </c>
      <c r="L36" s="17">
        <f t="array" ref="L36">XLOOKUP(REC.L.F!$A36,MACROZONAS!B:B,MACROZONAS!A:A)</f>
        <v>7</v>
      </c>
      <c r="M36" s="17">
        <f t="array" ref="M36">XLOOKUP(REC.L.F!$B36,SETORES!B:B,SETORES!A:A)</f>
        <v>5</v>
      </c>
    </row>
    <row r="37" ht="14.25" customHeight="1">
      <c r="A37" s="17" t="s">
        <v>33</v>
      </c>
      <c r="B37" s="17" t="s">
        <v>121</v>
      </c>
      <c r="C37" s="16" t="s">
        <v>185</v>
      </c>
      <c r="D37" s="16">
        <v>6.0</v>
      </c>
      <c r="E37" s="16">
        <v>1.5</v>
      </c>
      <c r="F37" s="16">
        <v>0.5</v>
      </c>
      <c r="G37" s="17">
        <v>7.0</v>
      </c>
      <c r="H37" s="25" t="s">
        <v>186</v>
      </c>
      <c r="I37" s="17"/>
      <c r="J37" s="17" t="s">
        <v>130</v>
      </c>
      <c r="K37" s="17">
        <v>36.0</v>
      </c>
      <c r="L37" s="17">
        <f t="array" ref="L37">XLOOKUP(REC.L.F!$A37,MACROZONAS!B:B,MACROZONAS!A:A)</f>
        <v>1</v>
      </c>
      <c r="M37" s="17">
        <f t="array" ref="M37">XLOOKUP(REC.L.F!$B37,SETORES!B:B,SETORES!A:A)</f>
        <v>6</v>
      </c>
    </row>
    <row r="38" ht="14.25" customHeight="1">
      <c r="A38" s="17" t="s">
        <v>28</v>
      </c>
      <c r="B38" s="17" t="s">
        <v>121</v>
      </c>
      <c r="C38" s="16" t="s">
        <v>185</v>
      </c>
      <c r="D38" s="16">
        <v>6.0</v>
      </c>
      <c r="E38" s="16">
        <v>1.5</v>
      </c>
      <c r="F38" s="16">
        <v>0.5</v>
      </c>
      <c r="G38" s="17">
        <v>7.0</v>
      </c>
      <c r="H38" s="25" t="s">
        <v>186</v>
      </c>
      <c r="I38" s="17"/>
      <c r="J38" s="17" t="s">
        <v>130</v>
      </c>
      <c r="K38" s="17">
        <v>37.0</v>
      </c>
      <c r="L38" s="17">
        <f t="array" ref="L38">XLOOKUP(REC.L.F!$A38,MACROZONAS!B:B,MACROZONAS!A:A)</f>
        <v>2</v>
      </c>
      <c r="M38" s="17">
        <f t="array" ref="M38">XLOOKUP(REC.L.F!$B38,SETORES!B:B,SETORES!A:A)</f>
        <v>6</v>
      </c>
    </row>
    <row r="39" ht="14.25" customHeight="1">
      <c r="A39" s="17" t="s">
        <v>42</v>
      </c>
      <c r="B39" s="17" t="s">
        <v>121</v>
      </c>
      <c r="C39" s="16" t="s">
        <v>185</v>
      </c>
      <c r="D39" s="16">
        <v>6.0</v>
      </c>
      <c r="E39" s="16">
        <v>1.5</v>
      </c>
      <c r="F39" s="16">
        <v>0.5</v>
      </c>
      <c r="G39" s="17">
        <v>7.0</v>
      </c>
      <c r="H39" s="25" t="s">
        <v>186</v>
      </c>
      <c r="I39" s="17"/>
      <c r="J39" s="17" t="s">
        <v>130</v>
      </c>
      <c r="K39" s="17">
        <v>38.0</v>
      </c>
      <c r="L39" s="17">
        <f t="array" ref="L39">XLOOKUP(REC.L.F!$A39,MACROZONAS!B:B,MACROZONAS!A:A)</f>
        <v>3</v>
      </c>
      <c r="M39" s="17">
        <f t="array" ref="M39">XLOOKUP(REC.L.F!$B39,SETORES!B:B,SETORES!A:A)</f>
        <v>6</v>
      </c>
    </row>
    <row r="40" ht="14.25" customHeight="1">
      <c r="A40" s="17" t="s">
        <v>18</v>
      </c>
      <c r="B40" s="17" t="s">
        <v>121</v>
      </c>
      <c r="C40" s="16" t="s">
        <v>185</v>
      </c>
      <c r="D40" s="16">
        <v>6.0</v>
      </c>
      <c r="E40" s="16">
        <v>1.5</v>
      </c>
      <c r="F40" s="16">
        <v>0.5</v>
      </c>
      <c r="G40" s="17">
        <v>7.0</v>
      </c>
      <c r="H40" s="25" t="s">
        <v>186</v>
      </c>
      <c r="I40" s="17"/>
      <c r="J40" s="17" t="s">
        <v>130</v>
      </c>
      <c r="K40" s="17">
        <v>39.0</v>
      </c>
      <c r="L40" s="17">
        <f t="array" ref="L40">XLOOKUP(REC.L.F!$A40,MACROZONAS!B:B,MACROZONAS!A:A)</f>
        <v>4</v>
      </c>
      <c r="M40" s="17">
        <f t="array" ref="M40">XLOOKUP(REC.L.F!$B40,SETORES!B:B,SETORES!A:A)</f>
        <v>6</v>
      </c>
    </row>
    <row r="41" ht="14.25" customHeight="1">
      <c r="A41" s="17" t="s">
        <v>39</v>
      </c>
      <c r="B41" s="17" t="s">
        <v>121</v>
      </c>
      <c r="C41" s="16">
        <v>5.0</v>
      </c>
      <c r="D41" s="16"/>
      <c r="E41" s="16">
        <v>5.0</v>
      </c>
      <c r="F41" s="16"/>
      <c r="G41" s="17"/>
      <c r="H41" s="25" t="s">
        <v>186</v>
      </c>
      <c r="I41" s="17"/>
      <c r="J41" s="17" t="s">
        <v>130</v>
      </c>
      <c r="K41" s="17">
        <v>40.0</v>
      </c>
      <c r="L41" s="17">
        <f t="array" ref="L41">XLOOKUP(REC.L.F!$A41,MACROZONAS!B:B,MACROZONAS!A:A)</f>
        <v>5</v>
      </c>
      <c r="M41" s="17">
        <f t="array" ref="M41">XLOOKUP(REC.L.F!$B41,SETORES!B:B,SETORES!A:A)</f>
        <v>6</v>
      </c>
    </row>
    <row r="42" ht="14.25" customHeight="1">
      <c r="A42" s="17" t="s">
        <v>29</v>
      </c>
      <c r="B42" s="17" t="s">
        <v>121</v>
      </c>
      <c r="C42" s="16">
        <v>5.0</v>
      </c>
      <c r="D42" s="16"/>
      <c r="E42" s="16">
        <v>5.0</v>
      </c>
      <c r="F42" s="16"/>
      <c r="G42" s="17"/>
      <c r="H42" s="25" t="s">
        <v>186</v>
      </c>
      <c r="I42" s="17"/>
      <c r="J42" s="17" t="s">
        <v>130</v>
      </c>
      <c r="K42" s="17">
        <v>41.0</v>
      </c>
      <c r="L42" s="17">
        <f t="array" ref="L42">XLOOKUP(REC.L.F!$A42,MACROZONAS!B:B,MACROZONAS!A:A)</f>
        <v>6</v>
      </c>
      <c r="M42" s="17">
        <f t="array" ref="M42">XLOOKUP(REC.L.F!$B42,SETORES!B:B,SETORES!A:A)</f>
        <v>6</v>
      </c>
    </row>
    <row r="43" ht="14.25" customHeight="1">
      <c r="A43" s="17" t="s">
        <v>43</v>
      </c>
      <c r="B43" s="17" t="s">
        <v>121</v>
      </c>
      <c r="C43" s="16">
        <v>5.0</v>
      </c>
      <c r="D43" s="16"/>
      <c r="E43" s="16">
        <v>5.0</v>
      </c>
      <c r="F43" s="16"/>
      <c r="G43" s="17"/>
      <c r="H43" s="25" t="s">
        <v>186</v>
      </c>
      <c r="I43" s="17"/>
      <c r="J43" s="17" t="s">
        <v>130</v>
      </c>
      <c r="K43" s="17">
        <v>42.0</v>
      </c>
      <c r="L43" s="17">
        <f t="array" ref="L43">XLOOKUP(REC.L.F!$A43,MACROZONAS!B:B,MACROZONAS!A:A)</f>
        <v>7</v>
      </c>
      <c r="M43" s="17">
        <f t="array" ref="M43">XLOOKUP(REC.L.F!$B43,SETORES!B:B,SETORES!A:A)</f>
        <v>6</v>
      </c>
    </row>
    <row r="44" ht="14.25" customHeight="1">
      <c r="A44" s="17" t="s">
        <v>33</v>
      </c>
      <c r="B44" s="17" t="s">
        <v>37</v>
      </c>
      <c r="C44" s="16" t="s">
        <v>185</v>
      </c>
      <c r="D44" s="16">
        <v>6.0</v>
      </c>
      <c r="E44" s="16">
        <v>1.5</v>
      </c>
      <c r="F44" s="16">
        <v>0.5</v>
      </c>
      <c r="G44" s="17">
        <v>7.0</v>
      </c>
      <c r="H44" s="25" t="s">
        <v>186</v>
      </c>
      <c r="I44" s="17"/>
      <c r="J44" s="17" t="s">
        <v>130</v>
      </c>
      <c r="K44" s="17">
        <v>43.0</v>
      </c>
      <c r="L44" s="17">
        <f t="array" ref="L44">XLOOKUP(REC.L.F!$A44,MACROZONAS!B:B,MACROZONAS!A:A)</f>
        <v>1</v>
      </c>
      <c r="M44" s="17">
        <f t="array" ref="M44">XLOOKUP(REC.L.F!$B44,SETORES!B:B,SETORES!A:A)</f>
        <v>7</v>
      </c>
    </row>
    <row r="45" ht="14.25" customHeight="1">
      <c r="A45" s="17" t="s">
        <v>28</v>
      </c>
      <c r="B45" s="17" t="s">
        <v>37</v>
      </c>
      <c r="C45" s="16" t="s">
        <v>185</v>
      </c>
      <c r="D45" s="16">
        <v>6.0</v>
      </c>
      <c r="E45" s="16">
        <v>1.5</v>
      </c>
      <c r="F45" s="16">
        <v>0.5</v>
      </c>
      <c r="G45" s="17">
        <v>7.0</v>
      </c>
      <c r="H45" s="25" t="s">
        <v>186</v>
      </c>
      <c r="I45" s="17"/>
      <c r="J45" s="17" t="s">
        <v>130</v>
      </c>
      <c r="K45" s="17">
        <v>44.0</v>
      </c>
      <c r="L45" s="17">
        <f t="array" ref="L45">XLOOKUP(REC.L.F!$A45,MACROZONAS!B:B,MACROZONAS!A:A)</f>
        <v>2</v>
      </c>
      <c r="M45" s="17">
        <f t="array" ref="M45">XLOOKUP(REC.L.F!$B45,SETORES!B:B,SETORES!A:A)</f>
        <v>7</v>
      </c>
    </row>
    <row r="46" ht="14.25" customHeight="1">
      <c r="A46" s="17" t="s">
        <v>42</v>
      </c>
      <c r="B46" s="17" t="s">
        <v>37</v>
      </c>
      <c r="C46" s="16" t="s">
        <v>185</v>
      </c>
      <c r="D46" s="16">
        <v>6.0</v>
      </c>
      <c r="E46" s="16">
        <v>1.5</v>
      </c>
      <c r="F46" s="16">
        <v>0.5</v>
      </c>
      <c r="G46" s="17">
        <v>7.0</v>
      </c>
      <c r="H46" s="25" t="s">
        <v>186</v>
      </c>
      <c r="I46" s="17"/>
      <c r="J46" s="17" t="s">
        <v>130</v>
      </c>
      <c r="K46" s="17">
        <v>45.0</v>
      </c>
      <c r="L46" s="17">
        <f t="array" ref="L46">XLOOKUP(REC.L.F!$A46,MACROZONAS!B:B,MACROZONAS!A:A)</f>
        <v>3</v>
      </c>
      <c r="M46" s="17">
        <f t="array" ref="M46">XLOOKUP(REC.L.F!$B46,SETORES!B:B,SETORES!A:A)</f>
        <v>7</v>
      </c>
    </row>
    <row r="47" ht="14.25" customHeight="1">
      <c r="A47" s="17" t="s">
        <v>18</v>
      </c>
      <c r="B47" s="17" t="s">
        <v>37</v>
      </c>
      <c r="C47" s="16" t="s">
        <v>185</v>
      </c>
      <c r="D47" s="16">
        <v>6.0</v>
      </c>
      <c r="E47" s="16">
        <v>1.5</v>
      </c>
      <c r="F47" s="16">
        <v>0.5</v>
      </c>
      <c r="G47" s="17">
        <v>7.0</v>
      </c>
      <c r="H47" s="25" t="s">
        <v>186</v>
      </c>
      <c r="I47" s="17"/>
      <c r="J47" s="17" t="s">
        <v>130</v>
      </c>
      <c r="K47" s="17">
        <v>46.0</v>
      </c>
      <c r="L47" s="17">
        <f t="array" ref="L47">XLOOKUP(REC.L.F!$A47,MACROZONAS!B:B,MACROZONAS!A:A)</f>
        <v>4</v>
      </c>
      <c r="M47" s="17">
        <f t="array" ref="M47">XLOOKUP(REC.L.F!$B47,SETORES!B:B,SETORES!A:A)</f>
        <v>7</v>
      </c>
    </row>
    <row r="48" ht="14.25" customHeight="1">
      <c r="A48" s="17" t="s">
        <v>39</v>
      </c>
      <c r="B48" s="17" t="s">
        <v>37</v>
      </c>
      <c r="C48" s="16">
        <v>5.0</v>
      </c>
      <c r="D48" s="16"/>
      <c r="E48" s="16">
        <v>5.0</v>
      </c>
      <c r="F48" s="16"/>
      <c r="G48" s="17"/>
      <c r="H48" s="25" t="s">
        <v>186</v>
      </c>
      <c r="I48" s="17"/>
      <c r="J48" s="17" t="s">
        <v>130</v>
      </c>
      <c r="K48" s="17">
        <v>47.0</v>
      </c>
      <c r="L48" s="17">
        <f t="array" ref="L48">XLOOKUP(REC.L.F!$A48,MACROZONAS!B:B,MACROZONAS!A:A)</f>
        <v>5</v>
      </c>
      <c r="M48" s="17">
        <f t="array" ref="M48">XLOOKUP(REC.L.F!$B48,SETORES!B:B,SETORES!A:A)</f>
        <v>7</v>
      </c>
    </row>
    <row r="49" ht="14.25" customHeight="1">
      <c r="A49" s="17" t="s">
        <v>29</v>
      </c>
      <c r="B49" s="17" t="s">
        <v>37</v>
      </c>
      <c r="C49" s="16">
        <v>5.0</v>
      </c>
      <c r="D49" s="16"/>
      <c r="E49" s="16">
        <v>5.0</v>
      </c>
      <c r="F49" s="16"/>
      <c r="G49" s="17"/>
      <c r="H49" s="25" t="s">
        <v>186</v>
      </c>
      <c r="I49" s="17"/>
      <c r="J49" s="17" t="s">
        <v>130</v>
      </c>
      <c r="K49" s="17">
        <v>48.0</v>
      </c>
      <c r="L49" s="17">
        <f t="array" ref="L49">XLOOKUP(REC.L.F!$A49,MACROZONAS!B:B,MACROZONAS!A:A)</f>
        <v>6</v>
      </c>
      <c r="M49" s="17">
        <f t="array" ref="M49">XLOOKUP(REC.L.F!$B49,SETORES!B:B,SETORES!A:A)</f>
        <v>7</v>
      </c>
    </row>
    <row r="50" ht="14.25" customHeight="1">
      <c r="A50" s="17" t="s">
        <v>43</v>
      </c>
      <c r="B50" s="17" t="s">
        <v>37</v>
      </c>
      <c r="C50" s="16">
        <v>5.0</v>
      </c>
      <c r="D50" s="16"/>
      <c r="E50" s="16">
        <v>5.0</v>
      </c>
      <c r="F50" s="16"/>
      <c r="G50" s="17"/>
      <c r="H50" s="25" t="s">
        <v>186</v>
      </c>
      <c r="I50" s="17"/>
      <c r="J50" s="17" t="s">
        <v>130</v>
      </c>
      <c r="K50" s="17">
        <v>49.0</v>
      </c>
      <c r="L50" s="17">
        <f t="array" ref="L50">XLOOKUP(REC.L.F!$A50,MACROZONAS!B:B,MACROZONAS!A:A)</f>
        <v>7</v>
      </c>
      <c r="M50" s="17">
        <f t="array" ref="M50">XLOOKUP(REC.L.F!$B50,SETORES!B:B,SETORES!A:A)</f>
        <v>7</v>
      </c>
    </row>
    <row r="51" ht="14.25" customHeight="1">
      <c r="A51" s="17" t="s">
        <v>33</v>
      </c>
      <c r="B51" s="17" t="s">
        <v>36</v>
      </c>
      <c r="C51" s="16" t="s">
        <v>185</v>
      </c>
      <c r="D51" s="16">
        <v>6.0</v>
      </c>
      <c r="E51" s="16">
        <v>1.5</v>
      </c>
      <c r="F51" s="16">
        <v>0.5</v>
      </c>
      <c r="G51" s="17">
        <v>7.0</v>
      </c>
      <c r="H51" s="25" t="s">
        <v>186</v>
      </c>
      <c r="I51" s="17"/>
      <c r="J51" s="17" t="s">
        <v>130</v>
      </c>
      <c r="K51" s="17">
        <v>50.0</v>
      </c>
      <c r="L51" s="17">
        <f t="array" ref="L51">XLOOKUP(REC.L.F!$A51,MACROZONAS!B:B,MACROZONAS!A:A)</f>
        <v>1</v>
      </c>
      <c r="M51" s="17">
        <f t="array" ref="M51">XLOOKUP(REC.L.F!$B51,SETORES!B:B,SETORES!A:A)</f>
        <v>8</v>
      </c>
    </row>
    <row r="52" ht="14.25" customHeight="1">
      <c r="A52" s="17" t="s">
        <v>28</v>
      </c>
      <c r="B52" s="17" t="s">
        <v>36</v>
      </c>
      <c r="C52" s="16" t="s">
        <v>185</v>
      </c>
      <c r="D52" s="16">
        <v>6.0</v>
      </c>
      <c r="E52" s="16">
        <v>1.5</v>
      </c>
      <c r="F52" s="16">
        <v>0.5</v>
      </c>
      <c r="G52" s="17">
        <v>7.0</v>
      </c>
      <c r="H52" s="25" t="s">
        <v>186</v>
      </c>
      <c r="I52" s="17"/>
      <c r="J52" s="17" t="s">
        <v>130</v>
      </c>
      <c r="K52" s="17">
        <v>51.0</v>
      </c>
      <c r="L52" s="17">
        <f t="array" ref="L52">XLOOKUP(REC.L.F!$A52,MACROZONAS!B:B,MACROZONAS!A:A)</f>
        <v>2</v>
      </c>
      <c r="M52" s="17">
        <f t="array" ref="M52">XLOOKUP(REC.L.F!$B52,SETORES!B:B,SETORES!A:A)</f>
        <v>8</v>
      </c>
    </row>
    <row r="53" ht="14.25" customHeight="1">
      <c r="A53" s="17" t="s">
        <v>42</v>
      </c>
      <c r="B53" s="17" t="s">
        <v>36</v>
      </c>
      <c r="C53" s="16" t="s">
        <v>185</v>
      </c>
      <c r="D53" s="16">
        <v>6.0</v>
      </c>
      <c r="E53" s="16">
        <v>1.5</v>
      </c>
      <c r="F53" s="16">
        <v>0.5</v>
      </c>
      <c r="G53" s="17">
        <v>7.0</v>
      </c>
      <c r="H53" s="25" t="s">
        <v>186</v>
      </c>
      <c r="I53" s="17"/>
      <c r="J53" s="17" t="s">
        <v>130</v>
      </c>
      <c r="K53" s="17">
        <v>52.0</v>
      </c>
      <c r="L53" s="17">
        <f t="array" ref="L53">XLOOKUP(REC.L.F!$A53,MACROZONAS!B:B,MACROZONAS!A:A)</f>
        <v>3</v>
      </c>
      <c r="M53" s="17">
        <f t="array" ref="M53">XLOOKUP(REC.L.F!$B53,SETORES!B:B,SETORES!A:A)</f>
        <v>8</v>
      </c>
    </row>
    <row r="54" ht="14.25" customHeight="1">
      <c r="A54" s="17" t="s">
        <v>18</v>
      </c>
      <c r="B54" s="17" t="s">
        <v>36</v>
      </c>
      <c r="C54" s="16" t="s">
        <v>185</v>
      </c>
      <c r="D54" s="16">
        <v>6.0</v>
      </c>
      <c r="E54" s="16">
        <v>1.5</v>
      </c>
      <c r="F54" s="16">
        <v>0.5</v>
      </c>
      <c r="G54" s="17">
        <v>7.0</v>
      </c>
      <c r="H54" s="25" t="s">
        <v>186</v>
      </c>
      <c r="I54" s="17"/>
      <c r="J54" s="17" t="s">
        <v>130</v>
      </c>
      <c r="K54" s="17">
        <v>53.0</v>
      </c>
      <c r="L54" s="17">
        <f t="array" ref="L54">XLOOKUP(REC.L.F!$A54,MACROZONAS!B:B,MACROZONAS!A:A)</f>
        <v>4</v>
      </c>
      <c r="M54" s="17">
        <f t="array" ref="M54">XLOOKUP(REC.L.F!$B54,SETORES!B:B,SETORES!A:A)</f>
        <v>8</v>
      </c>
    </row>
    <row r="55" ht="14.25" customHeight="1">
      <c r="A55" s="17" t="s">
        <v>39</v>
      </c>
      <c r="B55" s="17" t="s">
        <v>36</v>
      </c>
      <c r="C55" s="16">
        <v>5.0</v>
      </c>
      <c r="D55" s="16"/>
      <c r="E55" s="16">
        <v>5.0</v>
      </c>
      <c r="F55" s="16"/>
      <c r="G55" s="17"/>
      <c r="H55" s="25" t="s">
        <v>186</v>
      </c>
      <c r="I55" s="17"/>
      <c r="J55" s="17" t="s">
        <v>130</v>
      </c>
      <c r="K55" s="17">
        <v>54.0</v>
      </c>
      <c r="L55" s="17">
        <f t="array" ref="L55">XLOOKUP(REC.L.F!$A55,MACROZONAS!B:B,MACROZONAS!A:A)</f>
        <v>5</v>
      </c>
      <c r="M55" s="17">
        <f t="array" ref="M55">XLOOKUP(REC.L.F!$B55,SETORES!B:B,SETORES!A:A)</f>
        <v>8</v>
      </c>
    </row>
    <row r="56" ht="14.25" customHeight="1">
      <c r="A56" s="17" t="s">
        <v>29</v>
      </c>
      <c r="B56" s="17" t="s">
        <v>36</v>
      </c>
      <c r="C56" s="16">
        <v>5.0</v>
      </c>
      <c r="D56" s="16"/>
      <c r="E56" s="16">
        <v>5.0</v>
      </c>
      <c r="F56" s="16"/>
      <c r="G56" s="17"/>
      <c r="H56" s="25" t="s">
        <v>186</v>
      </c>
      <c r="I56" s="17"/>
      <c r="J56" s="17" t="s">
        <v>130</v>
      </c>
      <c r="K56" s="17">
        <v>55.0</v>
      </c>
      <c r="L56" s="17">
        <f t="array" ref="L56">XLOOKUP(REC.L.F!$A56,MACROZONAS!B:B,MACROZONAS!A:A)</f>
        <v>6</v>
      </c>
      <c r="M56" s="17">
        <f t="array" ref="M56">XLOOKUP(REC.L.F!$B56,SETORES!B:B,SETORES!A:A)</f>
        <v>8</v>
      </c>
    </row>
    <row r="57" ht="14.25" customHeight="1">
      <c r="A57" s="17" t="s">
        <v>43</v>
      </c>
      <c r="B57" s="17" t="s">
        <v>36</v>
      </c>
      <c r="C57" s="16">
        <v>5.0</v>
      </c>
      <c r="D57" s="16"/>
      <c r="E57" s="16">
        <v>5.0</v>
      </c>
      <c r="F57" s="16"/>
      <c r="G57" s="17"/>
      <c r="H57" s="25" t="s">
        <v>186</v>
      </c>
      <c r="I57" s="17"/>
      <c r="J57" s="17" t="s">
        <v>130</v>
      </c>
      <c r="K57" s="17">
        <v>56.0</v>
      </c>
      <c r="L57" s="17">
        <f t="array" ref="L57">XLOOKUP(REC.L.F!$A57,MACROZONAS!B:B,MACROZONAS!A:A)</f>
        <v>7</v>
      </c>
      <c r="M57" s="17">
        <f t="array" ref="M57">XLOOKUP(REC.L.F!$B57,SETORES!B:B,SETORES!A:A)</f>
        <v>8</v>
      </c>
    </row>
    <row r="58" ht="14.25" customHeight="1">
      <c r="A58" s="17" t="s">
        <v>33</v>
      </c>
      <c r="B58" s="17" t="s">
        <v>15</v>
      </c>
      <c r="C58" s="16" t="s">
        <v>185</v>
      </c>
      <c r="D58" s="16">
        <v>6.0</v>
      </c>
      <c r="E58" s="16">
        <v>1.5</v>
      </c>
      <c r="F58" s="16">
        <v>0.5</v>
      </c>
      <c r="G58" s="17">
        <v>7.0</v>
      </c>
      <c r="H58" s="25" t="s">
        <v>186</v>
      </c>
      <c r="I58" s="17"/>
      <c r="J58" s="17" t="s">
        <v>130</v>
      </c>
      <c r="K58" s="17">
        <v>57.0</v>
      </c>
      <c r="L58" s="17">
        <f t="array" ref="L58">XLOOKUP(REC.L.F!$A58,MACROZONAS!B:B,MACROZONAS!A:A)</f>
        <v>1</v>
      </c>
      <c r="M58" s="17">
        <f t="array" ref="M58">XLOOKUP(REC.L.F!$B58,SETORES!B:B,SETORES!A:A)</f>
        <v>9</v>
      </c>
    </row>
    <row r="59" ht="14.25" customHeight="1">
      <c r="A59" s="17" t="s">
        <v>28</v>
      </c>
      <c r="B59" s="17" t="s">
        <v>15</v>
      </c>
      <c r="C59" s="16" t="s">
        <v>185</v>
      </c>
      <c r="D59" s="16">
        <v>6.0</v>
      </c>
      <c r="E59" s="16">
        <v>1.5</v>
      </c>
      <c r="F59" s="16">
        <v>0.5</v>
      </c>
      <c r="G59" s="17">
        <v>7.0</v>
      </c>
      <c r="H59" s="25" t="s">
        <v>186</v>
      </c>
      <c r="I59" s="17"/>
      <c r="J59" s="17" t="s">
        <v>130</v>
      </c>
      <c r="K59" s="17">
        <v>58.0</v>
      </c>
      <c r="L59" s="17">
        <f t="array" ref="L59">XLOOKUP(REC.L.F!$A59,MACROZONAS!B:B,MACROZONAS!A:A)</f>
        <v>2</v>
      </c>
      <c r="M59" s="17">
        <f t="array" ref="M59">XLOOKUP(REC.L.F!$B59,SETORES!B:B,SETORES!A:A)</f>
        <v>9</v>
      </c>
    </row>
    <row r="60" ht="14.25" customHeight="1">
      <c r="A60" s="17" t="s">
        <v>42</v>
      </c>
      <c r="B60" s="17" t="s">
        <v>15</v>
      </c>
      <c r="C60" s="16" t="s">
        <v>185</v>
      </c>
      <c r="D60" s="16">
        <v>6.0</v>
      </c>
      <c r="E60" s="16">
        <v>1.5</v>
      </c>
      <c r="F60" s="16">
        <v>0.5</v>
      </c>
      <c r="G60" s="17">
        <v>7.0</v>
      </c>
      <c r="H60" s="25" t="s">
        <v>186</v>
      </c>
      <c r="I60" s="17"/>
      <c r="J60" s="17" t="s">
        <v>130</v>
      </c>
      <c r="K60" s="17">
        <v>59.0</v>
      </c>
      <c r="L60" s="17">
        <f t="array" ref="L60">XLOOKUP(REC.L.F!$A60,MACROZONAS!B:B,MACROZONAS!A:A)</f>
        <v>3</v>
      </c>
      <c r="M60" s="17">
        <f t="array" ref="M60">XLOOKUP(REC.L.F!$B60,SETORES!B:B,SETORES!A:A)</f>
        <v>9</v>
      </c>
    </row>
    <row r="61" ht="14.25" customHeight="1">
      <c r="A61" s="17" t="s">
        <v>18</v>
      </c>
      <c r="B61" s="17" t="s">
        <v>15</v>
      </c>
      <c r="C61" s="16" t="s">
        <v>185</v>
      </c>
      <c r="D61" s="16">
        <v>6.0</v>
      </c>
      <c r="E61" s="16">
        <v>1.5</v>
      </c>
      <c r="F61" s="16">
        <v>0.5</v>
      </c>
      <c r="G61" s="17">
        <v>7.0</v>
      </c>
      <c r="H61" s="25" t="s">
        <v>186</v>
      </c>
      <c r="I61" s="17"/>
      <c r="J61" s="17" t="s">
        <v>130</v>
      </c>
      <c r="K61" s="17">
        <v>60.0</v>
      </c>
      <c r="L61" s="17">
        <f t="array" ref="L61">XLOOKUP(REC.L.F!$A61,MACROZONAS!B:B,MACROZONAS!A:A)</f>
        <v>4</v>
      </c>
      <c r="M61" s="17">
        <f t="array" ref="M61">XLOOKUP(REC.L.F!$B61,SETORES!B:B,SETORES!A:A)</f>
        <v>9</v>
      </c>
    </row>
    <row r="62" ht="14.25" customHeight="1">
      <c r="A62" s="17" t="s">
        <v>39</v>
      </c>
      <c r="B62" s="17" t="s">
        <v>15</v>
      </c>
      <c r="C62" s="16">
        <v>5.0</v>
      </c>
      <c r="D62" s="16"/>
      <c r="E62" s="16">
        <v>5.0</v>
      </c>
      <c r="F62" s="16"/>
      <c r="G62" s="17"/>
      <c r="H62" s="25" t="s">
        <v>186</v>
      </c>
      <c r="I62" s="17"/>
      <c r="J62" s="17" t="s">
        <v>130</v>
      </c>
      <c r="K62" s="17">
        <v>61.0</v>
      </c>
      <c r="L62" s="17">
        <f t="array" ref="L62">XLOOKUP(REC.L.F!$A62,MACROZONAS!B:B,MACROZONAS!A:A)</f>
        <v>5</v>
      </c>
      <c r="M62" s="17">
        <f t="array" ref="M62">XLOOKUP(REC.L.F!$B62,SETORES!B:B,SETORES!A:A)</f>
        <v>9</v>
      </c>
    </row>
    <row r="63" ht="14.25" customHeight="1">
      <c r="A63" s="17" t="s">
        <v>29</v>
      </c>
      <c r="B63" s="17" t="s">
        <v>15</v>
      </c>
      <c r="C63" s="16">
        <v>5.0</v>
      </c>
      <c r="D63" s="16"/>
      <c r="E63" s="16">
        <v>5.0</v>
      </c>
      <c r="F63" s="16"/>
      <c r="G63" s="17"/>
      <c r="H63" s="25" t="s">
        <v>186</v>
      </c>
      <c r="I63" s="17"/>
      <c r="J63" s="17" t="s">
        <v>130</v>
      </c>
      <c r="K63" s="17">
        <v>62.0</v>
      </c>
      <c r="L63" s="17">
        <f t="array" ref="L63">XLOOKUP(REC.L.F!$A63,MACROZONAS!B:B,MACROZONAS!A:A)</f>
        <v>6</v>
      </c>
      <c r="M63" s="17">
        <f t="array" ref="M63">XLOOKUP(REC.L.F!$B63,SETORES!B:B,SETORES!A:A)</f>
        <v>9</v>
      </c>
    </row>
    <row r="64" ht="14.25" customHeight="1">
      <c r="A64" s="17" t="s">
        <v>43</v>
      </c>
      <c r="B64" s="17" t="s">
        <v>15</v>
      </c>
      <c r="C64" s="16">
        <v>5.0</v>
      </c>
      <c r="D64" s="16"/>
      <c r="E64" s="16">
        <v>5.0</v>
      </c>
      <c r="F64" s="16"/>
      <c r="G64" s="17"/>
      <c r="H64" s="25" t="s">
        <v>186</v>
      </c>
      <c r="I64" s="17"/>
      <c r="J64" s="17" t="s">
        <v>130</v>
      </c>
      <c r="K64" s="17">
        <v>63.0</v>
      </c>
      <c r="L64" s="17">
        <f t="array" ref="L64">XLOOKUP(REC.L.F!$A64,MACROZONAS!B:B,MACROZONAS!A:A)</f>
        <v>7</v>
      </c>
      <c r="M64" s="17">
        <f t="array" ref="M64">XLOOKUP(REC.L.F!$B64,SETORES!B:B,SETORES!A:A)</f>
        <v>9</v>
      </c>
    </row>
    <row r="65" ht="14.25" customHeight="1">
      <c r="A65" s="17" t="s">
        <v>33</v>
      </c>
      <c r="B65" s="17" t="s">
        <v>38</v>
      </c>
      <c r="C65" s="16" t="s">
        <v>185</v>
      </c>
      <c r="D65" s="16">
        <v>6.0</v>
      </c>
      <c r="E65" s="16">
        <v>1.5</v>
      </c>
      <c r="F65" s="16">
        <v>0.5</v>
      </c>
      <c r="G65" s="17">
        <v>7.0</v>
      </c>
      <c r="H65" s="25" t="s">
        <v>186</v>
      </c>
      <c r="I65" s="17"/>
      <c r="J65" s="17" t="s">
        <v>130</v>
      </c>
      <c r="K65" s="17">
        <v>64.0</v>
      </c>
      <c r="L65" s="17">
        <f t="array" ref="L65">XLOOKUP(REC.L.F!$A65,MACROZONAS!B:B,MACROZONAS!A:A)</f>
        <v>1</v>
      </c>
      <c r="M65" s="17">
        <f t="array" ref="M65">XLOOKUP(REC.L.F!$B65,SETORES!B:B,SETORES!A:A)</f>
        <v>10</v>
      </c>
    </row>
    <row r="66" ht="14.25" customHeight="1">
      <c r="A66" s="17" t="s">
        <v>28</v>
      </c>
      <c r="B66" s="17" t="s">
        <v>38</v>
      </c>
      <c r="C66" s="16" t="s">
        <v>185</v>
      </c>
      <c r="D66" s="16">
        <v>6.0</v>
      </c>
      <c r="E66" s="16">
        <v>1.5</v>
      </c>
      <c r="F66" s="16">
        <v>0.5</v>
      </c>
      <c r="G66" s="17">
        <v>7.0</v>
      </c>
      <c r="H66" s="25" t="s">
        <v>186</v>
      </c>
      <c r="I66" s="17"/>
      <c r="J66" s="17" t="s">
        <v>130</v>
      </c>
      <c r="K66" s="17">
        <v>65.0</v>
      </c>
      <c r="L66" s="17">
        <f t="array" ref="L66">XLOOKUP(REC.L.F!$A66,MACROZONAS!B:B,MACROZONAS!A:A)</f>
        <v>2</v>
      </c>
      <c r="M66" s="17">
        <f t="array" ref="M66">XLOOKUP(REC.L.F!$B66,SETORES!B:B,SETORES!A:A)</f>
        <v>10</v>
      </c>
    </row>
    <row r="67" ht="14.25" customHeight="1">
      <c r="A67" s="17" t="s">
        <v>42</v>
      </c>
      <c r="B67" s="17" t="s">
        <v>38</v>
      </c>
      <c r="C67" s="16" t="s">
        <v>185</v>
      </c>
      <c r="D67" s="16">
        <v>6.0</v>
      </c>
      <c r="E67" s="16">
        <v>1.5</v>
      </c>
      <c r="F67" s="16">
        <v>0.5</v>
      </c>
      <c r="G67" s="17">
        <v>7.0</v>
      </c>
      <c r="H67" s="25" t="s">
        <v>186</v>
      </c>
      <c r="I67" s="17"/>
      <c r="J67" s="17" t="s">
        <v>130</v>
      </c>
      <c r="K67" s="17">
        <v>66.0</v>
      </c>
      <c r="L67" s="17">
        <f t="array" ref="L67">XLOOKUP(REC.L.F!$A67,MACROZONAS!B:B,MACROZONAS!A:A)</f>
        <v>3</v>
      </c>
      <c r="M67" s="17">
        <f t="array" ref="M67">XLOOKUP(REC.L.F!$B67,SETORES!B:B,SETORES!A:A)</f>
        <v>10</v>
      </c>
    </row>
    <row r="68" ht="14.25" customHeight="1">
      <c r="A68" s="17" t="s">
        <v>18</v>
      </c>
      <c r="B68" s="17" t="s">
        <v>38</v>
      </c>
      <c r="C68" s="16" t="s">
        <v>185</v>
      </c>
      <c r="D68" s="16">
        <v>6.0</v>
      </c>
      <c r="E68" s="16">
        <v>1.5</v>
      </c>
      <c r="F68" s="16">
        <v>0.5</v>
      </c>
      <c r="G68" s="17">
        <v>7.0</v>
      </c>
      <c r="H68" s="25" t="s">
        <v>186</v>
      </c>
      <c r="I68" s="17"/>
      <c r="J68" s="17" t="s">
        <v>130</v>
      </c>
      <c r="K68" s="17">
        <v>67.0</v>
      </c>
      <c r="L68" s="17">
        <f t="array" ref="L68">XLOOKUP(REC.L.F!$A68,MACROZONAS!B:B,MACROZONAS!A:A)</f>
        <v>4</v>
      </c>
      <c r="M68" s="17">
        <f t="array" ref="M68">XLOOKUP(REC.L.F!$B68,SETORES!B:B,SETORES!A:A)</f>
        <v>10</v>
      </c>
    </row>
    <row r="69" ht="14.25" customHeight="1">
      <c r="A69" s="17" t="s">
        <v>39</v>
      </c>
      <c r="B69" s="17" t="s">
        <v>38</v>
      </c>
      <c r="C69" s="16">
        <v>5.0</v>
      </c>
      <c r="D69" s="16"/>
      <c r="E69" s="16">
        <v>5.0</v>
      </c>
      <c r="F69" s="16"/>
      <c r="G69" s="17"/>
      <c r="H69" s="25" t="s">
        <v>186</v>
      </c>
      <c r="I69" s="17"/>
      <c r="J69" s="17" t="s">
        <v>130</v>
      </c>
      <c r="K69" s="17">
        <v>68.0</v>
      </c>
      <c r="L69" s="17">
        <f t="array" ref="L69">XLOOKUP(REC.L.F!$A69,MACROZONAS!B:B,MACROZONAS!A:A)</f>
        <v>5</v>
      </c>
      <c r="M69" s="17">
        <f t="array" ref="M69">XLOOKUP(REC.L.F!$B69,SETORES!B:B,SETORES!A:A)</f>
        <v>10</v>
      </c>
    </row>
    <row r="70" ht="14.25" customHeight="1">
      <c r="A70" s="17" t="s">
        <v>29</v>
      </c>
      <c r="B70" s="17" t="s">
        <v>38</v>
      </c>
      <c r="C70" s="16">
        <v>5.0</v>
      </c>
      <c r="D70" s="16"/>
      <c r="E70" s="16">
        <v>5.0</v>
      </c>
      <c r="F70" s="16"/>
      <c r="G70" s="17"/>
      <c r="H70" s="25" t="s">
        <v>186</v>
      </c>
      <c r="I70" s="17"/>
      <c r="J70" s="17" t="s">
        <v>130</v>
      </c>
      <c r="K70" s="17">
        <v>69.0</v>
      </c>
      <c r="L70" s="17">
        <f t="array" ref="L70">XLOOKUP(REC.L.F!$A70,MACROZONAS!B:B,MACROZONAS!A:A)</f>
        <v>6</v>
      </c>
      <c r="M70" s="17">
        <f t="array" ref="M70">XLOOKUP(REC.L.F!$B70,SETORES!B:B,SETORES!A:A)</f>
        <v>10</v>
      </c>
    </row>
    <row r="71" ht="14.25" customHeight="1">
      <c r="A71" s="17" t="s">
        <v>43</v>
      </c>
      <c r="B71" s="17" t="s">
        <v>38</v>
      </c>
      <c r="C71" s="16">
        <v>5.0</v>
      </c>
      <c r="D71" s="16"/>
      <c r="E71" s="16">
        <v>5.0</v>
      </c>
      <c r="F71" s="16"/>
      <c r="G71" s="17"/>
      <c r="H71" s="25" t="s">
        <v>186</v>
      </c>
      <c r="I71" s="17"/>
      <c r="J71" s="17" t="s">
        <v>130</v>
      </c>
      <c r="K71" s="17">
        <v>70.0</v>
      </c>
      <c r="L71" s="17">
        <f t="array" ref="L71">XLOOKUP(REC.L.F!$A71,MACROZONAS!B:B,MACROZONAS!A:A)</f>
        <v>7</v>
      </c>
      <c r="M71" s="17">
        <f t="array" ref="M71">XLOOKUP(REC.L.F!$B71,SETORES!B:B,SETORES!A:A)</f>
        <v>10</v>
      </c>
    </row>
    <row r="72" ht="14.25" customHeight="1">
      <c r="A72" s="17" t="s">
        <v>33</v>
      </c>
      <c r="B72" s="17" t="s">
        <v>40</v>
      </c>
      <c r="C72" s="16" t="s">
        <v>185</v>
      </c>
      <c r="D72" s="16">
        <v>6.0</v>
      </c>
      <c r="E72" s="16">
        <v>1.5</v>
      </c>
      <c r="F72" s="16">
        <v>0.5</v>
      </c>
      <c r="G72" s="17">
        <v>7.0</v>
      </c>
      <c r="H72" s="25" t="s">
        <v>186</v>
      </c>
      <c r="I72" s="17"/>
      <c r="J72" s="17" t="s">
        <v>130</v>
      </c>
      <c r="K72" s="17">
        <v>71.0</v>
      </c>
      <c r="L72" s="17">
        <f t="array" ref="L72">XLOOKUP(REC.L.F!$A72,MACROZONAS!B:B,MACROZONAS!A:A)</f>
        <v>1</v>
      </c>
      <c r="M72" s="17">
        <f t="array" ref="M72">XLOOKUP(REC.L.F!$B72,SETORES!B:B,SETORES!A:A)</f>
        <v>11</v>
      </c>
    </row>
    <row r="73" ht="14.25" customHeight="1">
      <c r="A73" s="17" t="s">
        <v>28</v>
      </c>
      <c r="B73" s="17" t="s">
        <v>40</v>
      </c>
      <c r="C73" s="16" t="s">
        <v>185</v>
      </c>
      <c r="D73" s="16">
        <v>6.0</v>
      </c>
      <c r="E73" s="16">
        <v>1.5</v>
      </c>
      <c r="F73" s="16">
        <v>0.5</v>
      </c>
      <c r="G73" s="17">
        <v>7.0</v>
      </c>
      <c r="H73" s="25" t="s">
        <v>186</v>
      </c>
      <c r="I73" s="17"/>
      <c r="J73" s="17" t="s">
        <v>130</v>
      </c>
      <c r="K73" s="17">
        <v>72.0</v>
      </c>
      <c r="L73" s="17">
        <f t="array" ref="L73">XLOOKUP(REC.L.F!$A73,MACROZONAS!B:B,MACROZONAS!A:A)</f>
        <v>2</v>
      </c>
      <c r="M73" s="17">
        <f t="array" ref="M73">XLOOKUP(REC.L.F!$B73,SETORES!B:B,SETORES!A:A)</f>
        <v>11</v>
      </c>
    </row>
    <row r="74" ht="14.25" customHeight="1">
      <c r="A74" s="17" t="s">
        <v>42</v>
      </c>
      <c r="B74" s="17" t="s">
        <v>40</v>
      </c>
      <c r="C74" s="16" t="s">
        <v>185</v>
      </c>
      <c r="D74" s="16">
        <v>6.0</v>
      </c>
      <c r="E74" s="16">
        <v>1.5</v>
      </c>
      <c r="F74" s="16">
        <v>0.5</v>
      </c>
      <c r="G74" s="17">
        <v>7.0</v>
      </c>
      <c r="H74" s="25" t="s">
        <v>186</v>
      </c>
      <c r="I74" s="17"/>
      <c r="J74" s="17" t="s">
        <v>130</v>
      </c>
      <c r="K74" s="17">
        <v>73.0</v>
      </c>
      <c r="L74" s="17">
        <f t="array" ref="L74">XLOOKUP(REC.L.F!$A74,MACROZONAS!B:B,MACROZONAS!A:A)</f>
        <v>3</v>
      </c>
      <c r="M74" s="17">
        <f t="array" ref="M74">XLOOKUP(REC.L.F!$B74,SETORES!B:B,SETORES!A:A)</f>
        <v>11</v>
      </c>
    </row>
    <row r="75" ht="14.25" customHeight="1">
      <c r="A75" s="17" t="s">
        <v>18</v>
      </c>
      <c r="B75" s="17" t="s">
        <v>40</v>
      </c>
      <c r="C75" s="16" t="s">
        <v>185</v>
      </c>
      <c r="D75" s="16">
        <v>6.0</v>
      </c>
      <c r="E75" s="16">
        <v>1.5</v>
      </c>
      <c r="F75" s="16">
        <v>0.5</v>
      </c>
      <c r="G75" s="17">
        <v>7.0</v>
      </c>
      <c r="H75" s="25" t="s">
        <v>186</v>
      </c>
      <c r="I75" s="17"/>
      <c r="J75" s="17" t="s">
        <v>130</v>
      </c>
      <c r="K75" s="17">
        <v>74.0</v>
      </c>
      <c r="L75" s="17">
        <f t="array" ref="L75">XLOOKUP(REC.L.F!$A75,MACROZONAS!B:B,MACROZONAS!A:A)</f>
        <v>4</v>
      </c>
      <c r="M75" s="17">
        <f t="array" ref="M75">XLOOKUP(REC.L.F!$B75,SETORES!B:B,SETORES!A:A)</f>
        <v>11</v>
      </c>
    </row>
    <row r="76" ht="14.25" customHeight="1">
      <c r="A76" s="17" t="s">
        <v>39</v>
      </c>
      <c r="B76" s="17" t="s">
        <v>40</v>
      </c>
      <c r="C76" s="16">
        <v>5.0</v>
      </c>
      <c r="D76" s="16"/>
      <c r="E76" s="16">
        <v>5.0</v>
      </c>
      <c r="F76" s="16"/>
      <c r="G76" s="17"/>
      <c r="H76" s="25" t="s">
        <v>186</v>
      </c>
      <c r="I76" s="17"/>
      <c r="J76" s="17" t="s">
        <v>130</v>
      </c>
      <c r="K76" s="17">
        <v>75.0</v>
      </c>
      <c r="L76" s="17">
        <f t="array" ref="L76">XLOOKUP(REC.L.F!$A76,MACROZONAS!B:B,MACROZONAS!A:A)</f>
        <v>5</v>
      </c>
      <c r="M76" s="17">
        <f t="array" ref="M76">XLOOKUP(REC.L.F!$B76,SETORES!B:B,SETORES!A:A)</f>
        <v>11</v>
      </c>
    </row>
    <row r="77" ht="14.25" customHeight="1">
      <c r="A77" s="17" t="s">
        <v>29</v>
      </c>
      <c r="B77" s="17" t="s">
        <v>40</v>
      </c>
      <c r="C77" s="16">
        <v>5.0</v>
      </c>
      <c r="D77" s="16"/>
      <c r="E77" s="16">
        <v>5.0</v>
      </c>
      <c r="F77" s="16"/>
      <c r="G77" s="17"/>
      <c r="H77" s="25" t="s">
        <v>186</v>
      </c>
      <c r="I77" s="17"/>
      <c r="J77" s="17" t="s">
        <v>130</v>
      </c>
      <c r="K77" s="17">
        <v>76.0</v>
      </c>
      <c r="L77" s="17">
        <f t="array" ref="L77">XLOOKUP(REC.L.F!$A77,MACROZONAS!B:B,MACROZONAS!A:A)</f>
        <v>6</v>
      </c>
      <c r="M77" s="17">
        <f t="array" ref="M77">XLOOKUP(REC.L.F!$B77,SETORES!B:B,SETORES!A:A)</f>
        <v>11</v>
      </c>
    </row>
    <row r="78" ht="14.25" customHeight="1">
      <c r="A78" s="17" t="s">
        <v>43</v>
      </c>
      <c r="B78" s="17" t="s">
        <v>40</v>
      </c>
      <c r="C78" s="16">
        <v>5.0</v>
      </c>
      <c r="D78" s="16"/>
      <c r="E78" s="16">
        <v>5.0</v>
      </c>
      <c r="F78" s="16"/>
      <c r="G78" s="17"/>
      <c r="H78" s="25" t="s">
        <v>186</v>
      </c>
      <c r="I78" s="17"/>
      <c r="J78" s="17" t="s">
        <v>130</v>
      </c>
      <c r="K78" s="17">
        <v>77.0</v>
      </c>
      <c r="L78" s="17">
        <f t="array" ref="L78">XLOOKUP(REC.L.F!$A78,MACROZONAS!B:B,MACROZONAS!A:A)</f>
        <v>7</v>
      </c>
      <c r="M78" s="17">
        <f t="array" ref="M78">XLOOKUP(REC.L.F!$B78,SETORES!B:B,SETORES!A:A)</f>
        <v>11</v>
      </c>
    </row>
    <row r="79" ht="14.25" customHeight="1">
      <c r="A79" s="17" t="s">
        <v>33</v>
      </c>
      <c r="B79" s="17" t="s">
        <v>20</v>
      </c>
      <c r="C79" s="16" t="s">
        <v>185</v>
      </c>
      <c r="D79" s="16">
        <v>6.0</v>
      </c>
      <c r="E79" s="16">
        <v>1.5</v>
      </c>
      <c r="F79" s="16">
        <v>0.5</v>
      </c>
      <c r="G79" s="17">
        <v>7.0</v>
      </c>
      <c r="H79" s="25" t="s">
        <v>186</v>
      </c>
      <c r="I79" s="17"/>
      <c r="J79" s="17" t="s">
        <v>130</v>
      </c>
      <c r="K79" s="17">
        <v>78.0</v>
      </c>
      <c r="L79" s="17">
        <f t="array" ref="L79">XLOOKUP(REC.L.F!$A79,MACROZONAS!B:B,MACROZONAS!A:A)</f>
        <v>1</v>
      </c>
      <c r="M79" s="17">
        <f t="array" ref="M79">XLOOKUP(REC.L.F!$B79,SETORES!B:B,SETORES!A:A)</f>
        <v>12</v>
      </c>
    </row>
    <row r="80" ht="14.25" customHeight="1">
      <c r="A80" s="17" t="s">
        <v>28</v>
      </c>
      <c r="B80" s="17" t="s">
        <v>20</v>
      </c>
      <c r="C80" s="16" t="s">
        <v>185</v>
      </c>
      <c r="D80" s="16">
        <v>6.0</v>
      </c>
      <c r="E80" s="16">
        <v>1.5</v>
      </c>
      <c r="F80" s="16">
        <v>0.5</v>
      </c>
      <c r="G80" s="17">
        <v>7.0</v>
      </c>
      <c r="H80" s="25" t="s">
        <v>186</v>
      </c>
      <c r="I80" s="17"/>
      <c r="J80" s="17" t="s">
        <v>130</v>
      </c>
      <c r="K80" s="17">
        <v>79.0</v>
      </c>
      <c r="L80" s="17">
        <f t="array" ref="L80">XLOOKUP(REC.L.F!$A80,MACROZONAS!B:B,MACROZONAS!A:A)</f>
        <v>2</v>
      </c>
      <c r="M80" s="17">
        <f t="array" ref="M80">XLOOKUP(REC.L.F!$B80,SETORES!B:B,SETORES!A:A)</f>
        <v>12</v>
      </c>
    </row>
    <row r="81" ht="14.25" customHeight="1">
      <c r="A81" s="17" t="s">
        <v>42</v>
      </c>
      <c r="B81" s="17" t="s">
        <v>20</v>
      </c>
      <c r="C81" s="16" t="s">
        <v>185</v>
      </c>
      <c r="D81" s="16">
        <v>6.0</v>
      </c>
      <c r="E81" s="16">
        <v>1.5</v>
      </c>
      <c r="F81" s="16">
        <v>0.5</v>
      </c>
      <c r="G81" s="17">
        <v>7.0</v>
      </c>
      <c r="H81" s="25" t="s">
        <v>186</v>
      </c>
      <c r="I81" s="17"/>
      <c r="J81" s="17" t="s">
        <v>130</v>
      </c>
      <c r="K81" s="17">
        <v>80.0</v>
      </c>
      <c r="L81" s="17">
        <f t="array" ref="L81">XLOOKUP(REC.L.F!$A81,MACROZONAS!B:B,MACROZONAS!A:A)</f>
        <v>3</v>
      </c>
      <c r="M81" s="17">
        <f t="array" ref="M81">XLOOKUP(REC.L.F!$B81,SETORES!B:B,SETORES!A:A)</f>
        <v>12</v>
      </c>
    </row>
    <row r="82" ht="14.25" customHeight="1">
      <c r="A82" s="17" t="s">
        <v>18</v>
      </c>
      <c r="B82" s="17" t="s">
        <v>20</v>
      </c>
      <c r="C82" s="16" t="s">
        <v>185</v>
      </c>
      <c r="D82" s="16">
        <v>6.0</v>
      </c>
      <c r="E82" s="16">
        <v>1.5</v>
      </c>
      <c r="F82" s="16">
        <v>0.5</v>
      </c>
      <c r="G82" s="17">
        <v>7.0</v>
      </c>
      <c r="H82" s="25" t="s">
        <v>186</v>
      </c>
      <c r="I82" s="17"/>
      <c r="J82" s="17" t="s">
        <v>130</v>
      </c>
      <c r="K82" s="17">
        <v>81.0</v>
      </c>
      <c r="L82" s="17">
        <f t="array" ref="L82">XLOOKUP(REC.L.F!$A82,MACROZONAS!B:B,MACROZONAS!A:A)</f>
        <v>4</v>
      </c>
      <c r="M82" s="17">
        <f t="array" ref="M82">XLOOKUP(REC.L.F!$B82,SETORES!B:B,SETORES!A:A)</f>
        <v>12</v>
      </c>
    </row>
    <row r="83" ht="14.25" customHeight="1">
      <c r="A83" s="17" t="s">
        <v>39</v>
      </c>
      <c r="B83" s="17" t="s">
        <v>20</v>
      </c>
      <c r="C83" s="16">
        <v>5.0</v>
      </c>
      <c r="D83" s="16"/>
      <c r="E83" s="16">
        <v>5.0</v>
      </c>
      <c r="F83" s="16"/>
      <c r="G83" s="17"/>
      <c r="H83" s="25" t="s">
        <v>186</v>
      </c>
      <c r="I83" s="17"/>
      <c r="J83" s="17" t="s">
        <v>130</v>
      </c>
      <c r="K83" s="17">
        <v>82.0</v>
      </c>
      <c r="L83" s="17">
        <f t="array" ref="L83">XLOOKUP(REC.L.F!$A83,MACROZONAS!B:B,MACROZONAS!A:A)</f>
        <v>5</v>
      </c>
      <c r="M83" s="17">
        <f t="array" ref="M83">XLOOKUP(REC.L.F!$B83,SETORES!B:B,SETORES!A:A)</f>
        <v>12</v>
      </c>
    </row>
    <row r="84" ht="14.25" customHeight="1">
      <c r="A84" s="17" t="s">
        <v>29</v>
      </c>
      <c r="B84" s="17" t="s">
        <v>20</v>
      </c>
      <c r="C84" s="16">
        <v>5.0</v>
      </c>
      <c r="D84" s="16"/>
      <c r="E84" s="16">
        <v>5.0</v>
      </c>
      <c r="F84" s="16"/>
      <c r="G84" s="17"/>
      <c r="H84" s="25" t="s">
        <v>186</v>
      </c>
      <c r="I84" s="17"/>
      <c r="J84" s="17" t="s">
        <v>130</v>
      </c>
      <c r="K84" s="17">
        <v>83.0</v>
      </c>
      <c r="L84" s="17">
        <f t="array" ref="L84">XLOOKUP(REC.L.F!$A84,MACROZONAS!B:B,MACROZONAS!A:A)</f>
        <v>6</v>
      </c>
      <c r="M84" s="17">
        <f t="array" ref="M84">XLOOKUP(REC.L.F!$B84,SETORES!B:B,SETORES!A:A)</f>
        <v>12</v>
      </c>
    </row>
    <row r="85" ht="14.25" customHeight="1">
      <c r="A85" s="17" t="s">
        <v>43</v>
      </c>
      <c r="B85" s="17" t="s">
        <v>20</v>
      </c>
      <c r="C85" s="16">
        <v>5.0</v>
      </c>
      <c r="D85" s="16"/>
      <c r="E85" s="16">
        <v>5.0</v>
      </c>
      <c r="F85" s="16"/>
      <c r="G85" s="17"/>
      <c r="H85" s="25" t="s">
        <v>186</v>
      </c>
      <c r="I85" s="17"/>
      <c r="J85" s="17" t="s">
        <v>130</v>
      </c>
      <c r="K85" s="17">
        <v>84.0</v>
      </c>
      <c r="L85" s="17">
        <f t="array" ref="L85">XLOOKUP(REC.L.F!$A85,MACROZONAS!B:B,MACROZONAS!A:A)</f>
        <v>7</v>
      </c>
      <c r="M85" s="17">
        <f t="array" ref="M85">XLOOKUP(REC.L.F!$B85,SETORES!B:B,SETORES!A:A)</f>
        <v>12</v>
      </c>
    </row>
    <row r="86" ht="14.25" customHeight="1">
      <c r="A86" s="17" t="s">
        <v>33</v>
      </c>
      <c r="B86" s="17" t="s">
        <v>27</v>
      </c>
      <c r="C86" s="16" t="s">
        <v>185</v>
      </c>
      <c r="D86" s="16">
        <v>6.0</v>
      </c>
      <c r="E86" s="16">
        <v>1.5</v>
      </c>
      <c r="F86" s="16">
        <v>0.5</v>
      </c>
      <c r="G86" s="17">
        <v>7.0</v>
      </c>
      <c r="H86" s="25" t="s">
        <v>186</v>
      </c>
      <c r="I86" s="17"/>
      <c r="J86" s="17" t="s">
        <v>130</v>
      </c>
      <c r="K86" s="17">
        <v>85.0</v>
      </c>
      <c r="L86" s="17">
        <f t="array" ref="L86">XLOOKUP(REC.L.F!$A86,MACROZONAS!B:B,MACROZONAS!A:A)</f>
        <v>1</v>
      </c>
      <c r="M86" s="17">
        <f t="array" ref="M86">XLOOKUP(REC.L.F!$B86,SETORES!B:B,SETORES!A:A)</f>
        <v>13</v>
      </c>
    </row>
    <row r="87" ht="14.25" customHeight="1">
      <c r="A87" s="17" t="s">
        <v>28</v>
      </c>
      <c r="B87" s="17" t="s">
        <v>27</v>
      </c>
      <c r="C87" s="16" t="s">
        <v>185</v>
      </c>
      <c r="D87" s="16">
        <v>6.0</v>
      </c>
      <c r="E87" s="16">
        <v>1.5</v>
      </c>
      <c r="F87" s="16">
        <v>0.5</v>
      </c>
      <c r="G87" s="17">
        <v>7.0</v>
      </c>
      <c r="H87" s="25" t="s">
        <v>186</v>
      </c>
      <c r="I87" s="17"/>
      <c r="J87" s="17" t="s">
        <v>130</v>
      </c>
      <c r="K87" s="17">
        <v>86.0</v>
      </c>
      <c r="L87" s="17">
        <f t="array" ref="L87">XLOOKUP(REC.L.F!$A87,MACROZONAS!B:B,MACROZONAS!A:A)</f>
        <v>2</v>
      </c>
      <c r="M87" s="17">
        <f t="array" ref="M87">XLOOKUP(REC.L.F!$B87,SETORES!B:B,SETORES!A:A)</f>
        <v>13</v>
      </c>
    </row>
    <row r="88" ht="14.25" customHeight="1">
      <c r="A88" s="17" t="s">
        <v>42</v>
      </c>
      <c r="B88" s="17" t="s">
        <v>27</v>
      </c>
      <c r="C88" s="16" t="s">
        <v>185</v>
      </c>
      <c r="D88" s="16">
        <v>6.0</v>
      </c>
      <c r="E88" s="16">
        <v>1.5</v>
      </c>
      <c r="F88" s="16">
        <v>0.5</v>
      </c>
      <c r="G88" s="17">
        <v>7.0</v>
      </c>
      <c r="H88" s="25" t="s">
        <v>186</v>
      </c>
      <c r="I88" s="17"/>
      <c r="J88" s="17" t="s">
        <v>130</v>
      </c>
      <c r="K88" s="17">
        <v>87.0</v>
      </c>
      <c r="L88" s="17">
        <f t="array" ref="L88">XLOOKUP(REC.L.F!$A88,MACROZONAS!B:B,MACROZONAS!A:A)</f>
        <v>3</v>
      </c>
      <c r="M88" s="17">
        <f t="array" ref="M88">XLOOKUP(REC.L.F!$B88,SETORES!B:B,SETORES!A:A)</f>
        <v>13</v>
      </c>
    </row>
    <row r="89" ht="14.25" customHeight="1">
      <c r="A89" s="17" t="s">
        <v>18</v>
      </c>
      <c r="B89" s="17" t="s">
        <v>27</v>
      </c>
      <c r="C89" s="16" t="s">
        <v>185</v>
      </c>
      <c r="D89" s="16">
        <v>6.0</v>
      </c>
      <c r="E89" s="16">
        <v>1.5</v>
      </c>
      <c r="F89" s="16">
        <v>0.5</v>
      </c>
      <c r="G89" s="17">
        <v>7.0</v>
      </c>
      <c r="H89" s="25" t="s">
        <v>186</v>
      </c>
      <c r="I89" s="17"/>
      <c r="J89" s="17" t="s">
        <v>130</v>
      </c>
      <c r="K89" s="17">
        <v>88.0</v>
      </c>
      <c r="L89" s="17">
        <f t="array" ref="L89">XLOOKUP(REC.L.F!$A89,MACROZONAS!B:B,MACROZONAS!A:A)</f>
        <v>4</v>
      </c>
      <c r="M89" s="17">
        <f t="array" ref="M89">XLOOKUP(REC.L.F!$B89,SETORES!B:B,SETORES!A:A)</f>
        <v>13</v>
      </c>
    </row>
    <row r="90" ht="14.25" customHeight="1">
      <c r="A90" s="17" t="s">
        <v>39</v>
      </c>
      <c r="B90" s="17" t="s">
        <v>27</v>
      </c>
      <c r="C90" s="16">
        <v>5.0</v>
      </c>
      <c r="D90" s="16"/>
      <c r="E90" s="16">
        <v>5.0</v>
      </c>
      <c r="F90" s="16"/>
      <c r="G90" s="17"/>
      <c r="H90" s="25" t="s">
        <v>186</v>
      </c>
      <c r="I90" s="17"/>
      <c r="J90" s="17" t="s">
        <v>130</v>
      </c>
      <c r="K90" s="17">
        <v>89.0</v>
      </c>
      <c r="L90" s="17">
        <f t="array" ref="L90">XLOOKUP(REC.L.F!$A90,MACROZONAS!B:B,MACROZONAS!A:A)</f>
        <v>5</v>
      </c>
      <c r="M90" s="17">
        <f t="array" ref="M90">XLOOKUP(REC.L.F!$B90,SETORES!B:B,SETORES!A:A)</f>
        <v>13</v>
      </c>
    </row>
    <row r="91" ht="14.25" customHeight="1">
      <c r="A91" s="17" t="s">
        <v>29</v>
      </c>
      <c r="B91" s="17" t="s">
        <v>27</v>
      </c>
      <c r="C91" s="16">
        <v>5.0</v>
      </c>
      <c r="D91" s="16"/>
      <c r="E91" s="16">
        <v>5.0</v>
      </c>
      <c r="F91" s="16"/>
      <c r="G91" s="17"/>
      <c r="H91" s="25" t="s">
        <v>186</v>
      </c>
      <c r="I91" s="17"/>
      <c r="J91" s="17" t="s">
        <v>130</v>
      </c>
      <c r="K91" s="17">
        <v>90.0</v>
      </c>
      <c r="L91" s="17">
        <f t="array" ref="L91">XLOOKUP(REC.L.F!$A91,MACROZONAS!B:B,MACROZONAS!A:A)</f>
        <v>6</v>
      </c>
      <c r="M91" s="17">
        <f t="array" ref="M91">XLOOKUP(REC.L.F!$B91,SETORES!B:B,SETORES!A:A)</f>
        <v>13</v>
      </c>
    </row>
    <row r="92" ht="14.25" customHeight="1">
      <c r="A92" s="17" t="s">
        <v>43</v>
      </c>
      <c r="B92" s="17" t="s">
        <v>27</v>
      </c>
      <c r="C92" s="16">
        <v>5.0</v>
      </c>
      <c r="D92" s="16"/>
      <c r="E92" s="16">
        <v>5.0</v>
      </c>
      <c r="F92" s="16"/>
      <c r="G92" s="17"/>
      <c r="H92" s="25" t="s">
        <v>186</v>
      </c>
      <c r="I92" s="17"/>
      <c r="J92" s="17" t="s">
        <v>130</v>
      </c>
      <c r="K92" s="17">
        <v>91.0</v>
      </c>
      <c r="L92" s="17">
        <f t="array" ref="L92">XLOOKUP(REC.L.F!$A92,MACROZONAS!B:B,MACROZONAS!A:A)</f>
        <v>7</v>
      </c>
      <c r="M92" s="17">
        <f t="array" ref="M92">XLOOKUP(REC.L.F!$B92,SETORES!B:B,SETORES!A:A)</f>
        <v>13</v>
      </c>
    </row>
    <row r="93" ht="14.25" customHeight="1">
      <c r="A93" s="17" t="s">
        <v>33</v>
      </c>
      <c r="B93" s="17" t="s">
        <v>24</v>
      </c>
      <c r="C93" s="16" t="s">
        <v>185</v>
      </c>
      <c r="D93" s="16">
        <v>6.0</v>
      </c>
      <c r="E93" s="16">
        <v>1.5</v>
      </c>
      <c r="F93" s="16">
        <v>0.5</v>
      </c>
      <c r="G93" s="17">
        <v>7.0</v>
      </c>
      <c r="H93" s="25" t="s">
        <v>186</v>
      </c>
      <c r="I93" s="17"/>
      <c r="J93" s="17" t="s">
        <v>130</v>
      </c>
      <c r="K93" s="17">
        <v>92.0</v>
      </c>
      <c r="L93" s="17">
        <f t="array" ref="L93">XLOOKUP(REC.L.F!$A93,MACROZONAS!B:B,MACROZONAS!A:A)</f>
        <v>1</v>
      </c>
      <c r="M93" s="17">
        <f t="array" ref="M93">XLOOKUP(REC.L.F!$B93,SETORES!B:B,SETORES!A:A)</f>
        <v>14</v>
      </c>
    </row>
    <row r="94" ht="14.25" customHeight="1">
      <c r="A94" s="17" t="s">
        <v>28</v>
      </c>
      <c r="B94" s="17" t="s">
        <v>24</v>
      </c>
      <c r="C94" s="16" t="s">
        <v>185</v>
      </c>
      <c r="D94" s="16">
        <v>6.0</v>
      </c>
      <c r="E94" s="16">
        <v>1.5</v>
      </c>
      <c r="F94" s="16">
        <v>0.5</v>
      </c>
      <c r="G94" s="17">
        <v>7.0</v>
      </c>
      <c r="H94" s="25" t="s">
        <v>186</v>
      </c>
      <c r="I94" s="17"/>
      <c r="J94" s="17" t="s">
        <v>130</v>
      </c>
      <c r="K94" s="17">
        <v>93.0</v>
      </c>
      <c r="L94" s="17">
        <f t="array" ref="L94">XLOOKUP(REC.L.F!$A94,MACROZONAS!B:B,MACROZONAS!A:A)</f>
        <v>2</v>
      </c>
      <c r="M94" s="17">
        <f t="array" ref="M94">XLOOKUP(REC.L.F!$B94,SETORES!B:B,SETORES!A:A)</f>
        <v>14</v>
      </c>
    </row>
    <row r="95" ht="14.25" customHeight="1">
      <c r="A95" s="17" t="s">
        <v>42</v>
      </c>
      <c r="B95" s="17" t="s">
        <v>24</v>
      </c>
      <c r="C95" s="16" t="s">
        <v>185</v>
      </c>
      <c r="D95" s="16">
        <v>6.0</v>
      </c>
      <c r="E95" s="16">
        <v>1.5</v>
      </c>
      <c r="F95" s="16">
        <v>0.5</v>
      </c>
      <c r="G95" s="17">
        <v>7.0</v>
      </c>
      <c r="H95" s="25" t="s">
        <v>186</v>
      </c>
      <c r="I95" s="17"/>
      <c r="J95" s="17" t="s">
        <v>130</v>
      </c>
      <c r="K95" s="17">
        <v>94.0</v>
      </c>
      <c r="L95" s="17">
        <f t="array" ref="L95">XLOOKUP(REC.L.F!$A95,MACROZONAS!B:B,MACROZONAS!A:A)</f>
        <v>3</v>
      </c>
      <c r="M95" s="17">
        <f t="array" ref="M95">XLOOKUP(REC.L.F!$B95,SETORES!B:B,SETORES!A:A)</f>
        <v>14</v>
      </c>
    </row>
    <row r="96" ht="14.25" customHeight="1">
      <c r="A96" s="17" t="s">
        <v>18</v>
      </c>
      <c r="B96" s="17" t="s">
        <v>24</v>
      </c>
      <c r="C96" s="16" t="s">
        <v>185</v>
      </c>
      <c r="D96" s="16">
        <v>6.0</v>
      </c>
      <c r="E96" s="16">
        <v>1.5</v>
      </c>
      <c r="F96" s="16">
        <v>0.5</v>
      </c>
      <c r="G96" s="17">
        <v>7.0</v>
      </c>
      <c r="H96" s="25" t="s">
        <v>186</v>
      </c>
      <c r="I96" s="17"/>
      <c r="J96" s="17" t="s">
        <v>130</v>
      </c>
      <c r="K96" s="17">
        <v>95.0</v>
      </c>
      <c r="L96" s="17">
        <f t="array" ref="L96">XLOOKUP(REC.L.F!$A96,MACROZONAS!B:B,MACROZONAS!A:A)</f>
        <v>4</v>
      </c>
      <c r="M96" s="17">
        <f t="array" ref="M96">XLOOKUP(REC.L.F!$B96,SETORES!B:B,SETORES!A:A)</f>
        <v>14</v>
      </c>
    </row>
    <row r="97" ht="14.25" customHeight="1">
      <c r="A97" s="17" t="s">
        <v>39</v>
      </c>
      <c r="B97" s="17" t="s">
        <v>24</v>
      </c>
      <c r="C97" s="16">
        <v>5.0</v>
      </c>
      <c r="D97" s="16"/>
      <c r="E97" s="16">
        <v>5.0</v>
      </c>
      <c r="F97" s="16"/>
      <c r="G97" s="17"/>
      <c r="H97" s="25" t="s">
        <v>186</v>
      </c>
      <c r="I97" s="17"/>
      <c r="J97" s="17" t="s">
        <v>130</v>
      </c>
      <c r="K97" s="17">
        <v>96.0</v>
      </c>
      <c r="L97" s="17">
        <f t="array" ref="L97">XLOOKUP(REC.L.F!$A97,MACROZONAS!B:B,MACROZONAS!A:A)</f>
        <v>5</v>
      </c>
      <c r="M97" s="17">
        <f t="array" ref="M97">XLOOKUP(REC.L.F!$B97,SETORES!B:B,SETORES!A:A)</f>
        <v>14</v>
      </c>
    </row>
    <row r="98" ht="14.25" customHeight="1">
      <c r="A98" s="17" t="s">
        <v>29</v>
      </c>
      <c r="B98" s="17" t="s">
        <v>24</v>
      </c>
      <c r="C98" s="16">
        <v>5.0</v>
      </c>
      <c r="D98" s="16"/>
      <c r="E98" s="16">
        <v>5.0</v>
      </c>
      <c r="F98" s="16"/>
      <c r="G98" s="17"/>
      <c r="H98" s="25" t="s">
        <v>186</v>
      </c>
      <c r="I98" s="17"/>
      <c r="J98" s="17" t="s">
        <v>130</v>
      </c>
      <c r="K98" s="17">
        <v>97.0</v>
      </c>
      <c r="L98" s="17">
        <f t="array" ref="L98">XLOOKUP(REC.L.F!$A98,MACROZONAS!B:B,MACROZONAS!A:A)</f>
        <v>6</v>
      </c>
      <c r="M98" s="17">
        <f t="array" ref="M98">XLOOKUP(REC.L.F!$B98,SETORES!B:B,SETORES!A:A)</f>
        <v>14</v>
      </c>
    </row>
    <row r="99" ht="14.25" customHeight="1">
      <c r="A99" s="17" t="s">
        <v>43</v>
      </c>
      <c r="B99" s="17" t="s">
        <v>24</v>
      </c>
      <c r="C99" s="16">
        <v>5.0</v>
      </c>
      <c r="D99" s="16"/>
      <c r="E99" s="16">
        <v>5.0</v>
      </c>
      <c r="F99" s="16"/>
      <c r="G99" s="17"/>
      <c r="H99" s="25" t="s">
        <v>186</v>
      </c>
      <c r="I99" s="17"/>
      <c r="J99" s="17" t="s">
        <v>130</v>
      </c>
      <c r="K99" s="17">
        <v>98.0</v>
      </c>
      <c r="L99" s="17">
        <f t="array" ref="L99">XLOOKUP(REC.L.F!$A99,MACROZONAS!B:B,MACROZONAS!A:A)</f>
        <v>7</v>
      </c>
      <c r="M99" s="17">
        <f t="array" ref="M99">XLOOKUP(REC.L.F!$B99,SETORES!B:B,SETORES!A:A)</f>
        <v>14</v>
      </c>
    </row>
    <row r="100" ht="14.25" customHeight="1">
      <c r="A100" s="17" t="s">
        <v>33</v>
      </c>
      <c r="B100" s="17" t="s">
        <v>23</v>
      </c>
      <c r="C100" s="16" t="s">
        <v>185</v>
      </c>
      <c r="D100" s="16">
        <v>6.0</v>
      </c>
      <c r="E100" s="16">
        <v>1.5</v>
      </c>
      <c r="F100" s="16">
        <v>0.5</v>
      </c>
      <c r="G100" s="17">
        <v>7.0</v>
      </c>
      <c r="H100" s="25" t="s">
        <v>186</v>
      </c>
      <c r="I100" s="17"/>
      <c r="J100" s="17" t="s">
        <v>130</v>
      </c>
      <c r="K100" s="17">
        <v>99.0</v>
      </c>
      <c r="L100" s="17">
        <f t="array" ref="L100">XLOOKUP(REC.L.F!$A100,MACROZONAS!B:B,MACROZONAS!A:A)</f>
        <v>1</v>
      </c>
      <c r="M100" s="17">
        <f t="array" ref="M100">XLOOKUP(REC.L.F!$B100,SETORES!B:B,SETORES!A:A)</f>
        <v>15</v>
      </c>
    </row>
    <row r="101" ht="14.25" customHeight="1">
      <c r="A101" s="17" t="s">
        <v>28</v>
      </c>
      <c r="B101" s="17" t="s">
        <v>23</v>
      </c>
      <c r="C101" s="16" t="s">
        <v>185</v>
      </c>
      <c r="D101" s="16">
        <v>6.0</v>
      </c>
      <c r="E101" s="16">
        <v>1.5</v>
      </c>
      <c r="F101" s="16">
        <v>0.5</v>
      </c>
      <c r="G101" s="17">
        <v>7.0</v>
      </c>
      <c r="H101" s="25" t="s">
        <v>186</v>
      </c>
      <c r="I101" s="17"/>
      <c r="J101" s="17" t="s">
        <v>130</v>
      </c>
      <c r="K101" s="17">
        <v>100.0</v>
      </c>
      <c r="L101" s="17">
        <f t="array" ref="L101">XLOOKUP(REC.L.F!$A101,MACROZONAS!B:B,MACROZONAS!A:A)</f>
        <v>2</v>
      </c>
      <c r="M101" s="17">
        <f t="array" ref="M101">XLOOKUP(REC.L.F!$B101,SETORES!B:B,SETORES!A:A)</f>
        <v>15</v>
      </c>
    </row>
    <row r="102" ht="14.25" customHeight="1">
      <c r="A102" s="17" t="s">
        <v>42</v>
      </c>
      <c r="B102" s="17" t="s">
        <v>23</v>
      </c>
      <c r="C102" s="16" t="s">
        <v>185</v>
      </c>
      <c r="D102" s="16">
        <v>6.0</v>
      </c>
      <c r="E102" s="16">
        <v>1.5</v>
      </c>
      <c r="F102" s="16">
        <v>0.5</v>
      </c>
      <c r="G102" s="17">
        <v>7.0</v>
      </c>
      <c r="H102" s="25" t="s">
        <v>186</v>
      </c>
      <c r="I102" s="17"/>
      <c r="J102" s="17" t="s">
        <v>130</v>
      </c>
      <c r="K102" s="17">
        <v>101.0</v>
      </c>
      <c r="L102" s="17">
        <f t="array" ref="L102">XLOOKUP(REC.L.F!$A102,MACROZONAS!B:B,MACROZONAS!A:A)</f>
        <v>3</v>
      </c>
      <c r="M102" s="17">
        <f t="array" ref="M102">XLOOKUP(REC.L.F!$B102,SETORES!B:B,SETORES!A:A)</f>
        <v>15</v>
      </c>
    </row>
    <row r="103" ht="14.25" customHeight="1">
      <c r="A103" s="17" t="s">
        <v>18</v>
      </c>
      <c r="B103" s="17" t="s">
        <v>23</v>
      </c>
      <c r="C103" s="16" t="s">
        <v>185</v>
      </c>
      <c r="D103" s="16">
        <v>6.0</v>
      </c>
      <c r="E103" s="16">
        <v>1.5</v>
      </c>
      <c r="F103" s="16">
        <v>0.5</v>
      </c>
      <c r="G103" s="17">
        <v>7.0</v>
      </c>
      <c r="H103" s="25" t="s">
        <v>186</v>
      </c>
      <c r="I103" s="17"/>
      <c r="J103" s="17" t="s">
        <v>130</v>
      </c>
      <c r="K103" s="17">
        <v>102.0</v>
      </c>
      <c r="L103" s="17">
        <f t="array" ref="L103">XLOOKUP(REC.L.F!$A103,MACROZONAS!B:B,MACROZONAS!A:A)</f>
        <v>4</v>
      </c>
      <c r="M103" s="17">
        <f t="array" ref="M103">XLOOKUP(REC.L.F!$B103,SETORES!B:B,SETORES!A:A)</f>
        <v>15</v>
      </c>
    </row>
    <row r="104" ht="14.25" customHeight="1">
      <c r="A104" s="17" t="s">
        <v>39</v>
      </c>
      <c r="B104" s="17" t="s">
        <v>23</v>
      </c>
      <c r="C104" s="16">
        <v>5.0</v>
      </c>
      <c r="D104" s="16"/>
      <c r="E104" s="16">
        <v>5.0</v>
      </c>
      <c r="F104" s="16"/>
      <c r="G104" s="17"/>
      <c r="H104" s="25" t="s">
        <v>186</v>
      </c>
      <c r="I104" s="17"/>
      <c r="J104" s="17" t="s">
        <v>130</v>
      </c>
      <c r="K104" s="17">
        <v>103.0</v>
      </c>
      <c r="L104" s="17">
        <f t="array" ref="L104">XLOOKUP(REC.L.F!$A104,MACROZONAS!B:B,MACROZONAS!A:A)</f>
        <v>5</v>
      </c>
      <c r="M104" s="17">
        <f t="array" ref="M104">XLOOKUP(REC.L.F!$B104,SETORES!B:B,SETORES!A:A)</f>
        <v>15</v>
      </c>
    </row>
    <row r="105" ht="14.25" customHeight="1">
      <c r="A105" s="17" t="s">
        <v>29</v>
      </c>
      <c r="B105" s="17" t="s">
        <v>23</v>
      </c>
      <c r="C105" s="16">
        <v>5.0</v>
      </c>
      <c r="D105" s="16"/>
      <c r="E105" s="16">
        <v>5.0</v>
      </c>
      <c r="F105" s="16"/>
      <c r="G105" s="17"/>
      <c r="H105" s="25" t="s">
        <v>186</v>
      </c>
      <c r="I105" s="17"/>
      <c r="J105" s="17" t="s">
        <v>130</v>
      </c>
      <c r="K105" s="17">
        <v>104.0</v>
      </c>
      <c r="L105" s="17">
        <f t="array" ref="L105">XLOOKUP(REC.L.F!$A105,MACROZONAS!B:B,MACROZONAS!A:A)</f>
        <v>6</v>
      </c>
      <c r="M105" s="17">
        <f t="array" ref="M105">XLOOKUP(REC.L.F!$B105,SETORES!B:B,SETORES!A:A)</f>
        <v>15</v>
      </c>
    </row>
    <row r="106" ht="14.25" customHeight="1">
      <c r="A106" s="17" t="s">
        <v>43</v>
      </c>
      <c r="B106" s="17" t="s">
        <v>23</v>
      </c>
      <c r="C106" s="16">
        <v>5.0</v>
      </c>
      <c r="D106" s="16"/>
      <c r="E106" s="16">
        <v>5.0</v>
      </c>
      <c r="F106" s="16"/>
      <c r="G106" s="17"/>
      <c r="H106" s="25" t="s">
        <v>186</v>
      </c>
      <c r="I106" s="17"/>
      <c r="J106" s="17" t="s">
        <v>130</v>
      </c>
      <c r="K106" s="17">
        <v>105.0</v>
      </c>
      <c r="L106" s="17">
        <f t="array" ref="L106">XLOOKUP(REC.L.F!$A106,MACROZONAS!B:B,MACROZONAS!A:A)</f>
        <v>7</v>
      </c>
      <c r="M106" s="17">
        <f t="array" ref="M106">XLOOKUP(REC.L.F!$B106,SETORES!B:B,SETORES!A:A)</f>
        <v>15</v>
      </c>
    </row>
    <row r="107" ht="14.25" customHeight="1">
      <c r="A107" s="17" t="s">
        <v>33</v>
      </c>
      <c r="B107" s="17" t="s">
        <v>35</v>
      </c>
      <c r="C107" s="16" t="s">
        <v>185</v>
      </c>
      <c r="D107" s="16">
        <v>6.0</v>
      </c>
      <c r="E107" s="16">
        <v>1.5</v>
      </c>
      <c r="F107" s="16">
        <v>0.5</v>
      </c>
      <c r="G107" s="17">
        <v>7.0</v>
      </c>
      <c r="H107" s="25" t="s">
        <v>186</v>
      </c>
      <c r="I107" s="17"/>
      <c r="J107" s="17" t="s">
        <v>130</v>
      </c>
      <c r="K107" s="17">
        <v>106.0</v>
      </c>
      <c r="L107" s="17">
        <f t="array" ref="L107">XLOOKUP(REC.L.F!$A107,MACROZONAS!B:B,MACROZONAS!A:A)</f>
        <v>1</v>
      </c>
      <c r="M107" s="17">
        <f t="array" ref="M107">XLOOKUP(REC.L.F!$B107,SETORES!B:B,SETORES!A:A)</f>
        <v>16</v>
      </c>
    </row>
    <row r="108" ht="14.25" customHeight="1">
      <c r="A108" s="17" t="s">
        <v>28</v>
      </c>
      <c r="B108" s="17" t="s">
        <v>35</v>
      </c>
      <c r="C108" s="16" t="s">
        <v>185</v>
      </c>
      <c r="D108" s="16">
        <v>6.0</v>
      </c>
      <c r="E108" s="16">
        <v>1.5</v>
      </c>
      <c r="F108" s="16">
        <v>0.5</v>
      </c>
      <c r="G108" s="17">
        <v>7.0</v>
      </c>
      <c r="H108" s="25" t="s">
        <v>186</v>
      </c>
      <c r="I108" s="17"/>
      <c r="J108" s="17" t="s">
        <v>130</v>
      </c>
      <c r="K108" s="17">
        <v>107.0</v>
      </c>
      <c r="L108" s="17">
        <f t="array" ref="L108">XLOOKUP(REC.L.F!$A108,MACROZONAS!B:B,MACROZONAS!A:A)</f>
        <v>2</v>
      </c>
      <c r="M108" s="17">
        <f t="array" ref="M108">XLOOKUP(REC.L.F!$B108,SETORES!B:B,SETORES!A:A)</f>
        <v>16</v>
      </c>
    </row>
    <row r="109" ht="14.25" customHeight="1">
      <c r="A109" s="17" t="s">
        <v>42</v>
      </c>
      <c r="B109" s="17" t="s">
        <v>35</v>
      </c>
      <c r="C109" s="16" t="s">
        <v>185</v>
      </c>
      <c r="D109" s="16">
        <v>6.0</v>
      </c>
      <c r="E109" s="16">
        <v>1.5</v>
      </c>
      <c r="F109" s="16">
        <v>0.5</v>
      </c>
      <c r="G109" s="17">
        <v>7.0</v>
      </c>
      <c r="H109" s="25" t="s">
        <v>186</v>
      </c>
      <c r="I109" s="17"/>
      <c r="J109" s="17" t="s">
        <v>130</v>
      </c>
      <c r="K109" s="17">
        <v>108.0</v>
      </c>
      <c r="L109" s="17">
        <f t="array" ref="L109">XLOOKUP(REC.L.F!$A109,MACROZONAS!B:B,MACROZONAS!A:A)</f>
        <v>3</v>
      </c>
      <c r="M109" s="17">
        <f t="array" ref="M109">XLOOKUP(REC.L.F!$B109,SETORES!B:B,SETORES!A:A)</f>
        <v>16</v>
      </c>
    </row>
    <row r="110" ht="14.25" customHeight="1">
      <c r="A110" s="17" t="s">
        <v>18</v>
      </c>
      <c r="B110" s="17" t="s">
        <v>35</v>
      </c>
      <c r="C110" s="16" t="s">
        <v>185</v>
      </c>
      <c r="D110" s="16">
        <v>6.0</v>
      </c>
      <c r="E110" s="16">
        <v>1.5</v>
      </c>
      <c r="F110" s="16">
        <v>0.5</v>
      </c>
      <c r="G110" s="17">
        <v>7.0</v>
      </c>
      <c r="H110" s="25" t="s">
        <v>186</v>
      </c>
      <c r="I110" s="17"/>
      <c r="J110" s="17" t="s">
        <v>130</v>
      </c>
      <c r="K110" s="17">
        <v>109.0</v>
      </c>
      <c r="L110" s="17">
        <f t="array" ref="L110">XLOOKUP(REC.L.F!$A110,MACROZONAS!B:B,MACROZONAS!A:A)</f>
        <v>4</v>
      </c>
      <c r="M110" s="17">
        <f t="array" ref="M110">XLOOKUP(REC.L.F!$B110,SETORES!B:B,SETORES!A:A)</f>
        <v>16</v>
      </c>
    </row>
    <row r="111" ht="14.25" customHeight="1">
      <c r="A111" s="17" t="s">
        <v>39</v>
      </c>
      <c r="B111" s="17" t="s">
        <v>35</v>
      </c>
      <c r="C111" s="16">
        <v>5.0</v>
      </c>
      <c r="D111" s="16"/>
      <c r="E111" s="16">
        <v>5.0</v>
      </c>
      <c r="F111" s="16"/>
      <c r="G111" s="17"/>
      <c r="H111" s="25" t="s">
        <v>186</v>
      </c>
      <c r="I111" s="17"/>
      <c r="J111" s="17" t="s">
        <v>130</v>
      </c>
      <c r="K111" s="17">
        <v>110.0</v>
      </c>
      <c r="L111" s="17">
        <f t="array" ref="L111">XLOOKUP(REC.L.F!$A111,MACROZONAS!B:B,MACROZONAS!A:A)</f>
        <v>5</v>
      </c>
      <c r="M111" s="17">
        <f t="array" ref="M111">XLOOKUP(REC.L.F!$B111,SETORES!B:B,SETORES!A:A)</f>
        <v>16</v>
      </c>
    </row>
    <row r="112" ht="14.25" customHeight="1">
      <c r="A112" s="17" t="s">
        <v>29</v>
      </c>
      <c r="B112" s="17" t="s">
        <v>35</v>
      </c>
      <c r="C112" s="16">
        <v>5.0</v>
      </c>
      <c r="D112" s="16"/>
      <c r="E112" s="16">
        <v>5.0</v>
      </c>
      <c r="F112" s="16"/>
      <c r="G112" s="17"/>
      <c r="H112" s="25" t="s">
        <v>186</v>
      </c>
      <c r="I112" s="17"/>
      <c r="J112" s="17" t="s">
        <v>130</v>
      </c>
      <c r="K112" s="17">
        <v>111.0</v>
      </c>
      <c r="L112" s="17">
        <f t="array" ref="L112">XLOOKUP(REC.L.F!$A112,MACROZONAS!B:B,MACROZONAS!A:A)</f>
        <v>6</v>
      </c>
      <c r="M112" s="17">
        <f t="array" ref="M112">XLOOKUP(REC.L.F!$B112,SETORES!B:B,SETORES!A:A)</f>
        <v>16</v>
      </c>
    </row>
    <row r="113" ht="14.25" customHeight="1">
      <c r="A113" s="17" t="s">
        <v>43</v>
      </c>
      <c r="B113" s="17" t="s">
        <v>35</v>
      </c>
      <c r="C113" s="16">
        <v>5.0</v>
      </c>
      <c r="D113" s="16"/>
      <c r="E113" s="16">
        <v>5.0</v>
      </c>
      <c r="F113" s="16"/>
      <c r="G113" s="17"/>
      <c r="H113" s="25" t="s">
        <v>186</v>
      </c>
      <c r="I113" s="17"/>
      <c r="J113" s="17" t="s">
        <v>130</v>
      </c>
      <c r="K113" s="17">
        <v>112.0</v>
      </c>
      <c r="L113" s="17">
        <f t="array" ref="L113">XLOOKUP(REC.L.F!$A113,MACROZONAS!B:B,MACROZONAS!A:A)</f>
        <v>7</v>
      </c>
      <c r="M113" s="17">
        <f t="array" ref="M113">XLOOKUP(REC.L.F!$B113,SETORES!B:B,SETORES!A:A)</f>
        <v>16</v>
      </c>
    </row>
    <row r="114" ht="14.25" customHeight="1">
      <c r="A114" s="17" t="s">
        <v>33</v>
      </c>
      <c r="B114" s="17" t="s">
        <v>26</v>
      </c>
      <c r="C114" s="16" t="s">
        <v>185</v>
      </c>
      <c r="D114" s="16">
        <v>6.0</v>
      </c>
      <c r="E114" s="16">
        <v>1.5</v>
      </c>
      <c r="F114" s="16">
        <v>0.5</v>
      </c>
      <c r="G114" s="17">
        <v>7.0</v>
      </c>
      <c r="H114" s="25" t="s">
        <v>186</v>
      </c>
      <c r="I114" s="17"/>
      <c r="J114" s="17" t="s">
        <v>130</v>
      </c>
      <c r="K114" s="17">
        <v>113.0</v>
      </c>
      <c r="L114" s="17">
        <f t="array" ref="L114">XLOOKUP(REC.L.F!$A114,MACROZONAS!B:B,MACROZONAS!A:A)</f>
        <v>1</v>
      </c>
      <c r="M114" s="17">
        <f t="array" ref="M114">XLOOKUP(REC.L.F!$B114,SETORES!B:B,SETORES!A:A)</f>
        <v>17</v>
      </c>
    </row>
    <row r="115" ht="14.25" customHeight="1">
      <c r="A115" s="17" t="s">
        <v>28</v>
      </c>
      <c r="B115" s="17" t="s">
        <v>26</v>
      </c>
      <c r="C115" s="16" t="s">
        <v>185</v>
      </c>
      <c r="D115" s="16">
        <v>6.0</v>
      </c>
      <c r="E115" s="16">
        <v>1.5</v>
      </c>
      <c r="F115" s="16">
        <v>0.5</v>
      </c>
      <c r="G115" s="17">
        <v>7.0</v>
      </c>
      <c r="H115" s="25" t="s">
        <v>186</v>
      </c>
      <c r="I115" s="17"/>
      <c r="J115" s="17" t="s">
        <v>130</v>
      </c>
      <c r="K115" s="17">
        <v>114.0</v>
      </c>
      <c r="L115" s="17">
        <f t="array" ref="L115">XLOOKUP(REC.L.F!$A115,MACROZONAS!B:B,MACROZONAS!A:A)</f>
        <v>2</v>
      </c>
      <c r="M115" s="17">
        <f t="array" ref="M115">XLOOKUP(REC.L.F!$B115,SETORES!B:B,SETORES!A:A)</f>
        <v>17</v>
      </c>
    </row>
    <row r="116" ht="14.25" customHeight="1">
      <c r="A116" s="17" t="s">
        <v>42</v>
      </c>
      <c r="B116" s="17" t="s">
        <v>26</v>
      </c>
      <c r="C116" s="16" t="s">
        <v>185</v>
      </c>
      <c r="D116" s="16">
        <v>6.0</v>
      </c>
      <c r="E116" s="16">
        <v>1.5</v>
      </c>
      <c r="F116" s="16">
        <v>0.5</v>
      </c>
      <c r="G116" s="17">
        <v>7.0</v>
      </c>
      <c r="H116" s="25" t="s">
        <v>186</v>
      </c>
      <c r="I116" s="17"/>
      <c r="J116" s="17" t="s">
        <v>130</v>
      </c>
      <c r="K116" s="17">
        <v>115.0</v>
      </c>
      <c r="L116" s="17">
        <f t="array" ref="L116">XLOOKUP(REC.L.F!$A116,MACROZONAS!B:B,MACROZONAS!A:A)</f>
        <v>3</v>
      </c>
      <c r="M116" s="17">
        <f t="array" ref="M116">XLOOKUP(REC.L.F!$B116,SETORES!B:B,SETORES!A:A)</f>
        <v>17</v>
      </c>
    </row>
    <row r="117" ht="14.25" customHeight="1">
      <c r="A117" s="17" t="s">
        <v>18</v>
      </c>
      <c r="B117" s="17" t="s">
        <v>26</v>
      </c>
      <c r="C117" s="16" t="s">
        <v>185</v>
      </c>
      <c r="D117" s="16">
        <v>6.0</v>
      </c>
      <c r="E117" s="16">
        <v>1.5</v>
      </c>
      <c r="F117" s="16">
        <v>0.5</v>
      </c>
      <c r="G117" s="17">
        <v>7.0</v>
      </c>
      <c r="H117" s="25" t="s">
        <v>186</v>
      </c>
      <c r="I117" s="17"/>
      <c r="J117" s="17" t="s">
        <v>130</v>
      </c>
      <c r="K117" s="17">
        <v>116.0</v>
      </c>
      <c r="L117" s="17">
        <f t="array" ref="L117">XLOOKUP(REC.L.F!$A117,MACROZONAS!B:B,MACROZONAS!A:A)</f>
        <v>4</v>
      </c>
      <c r="M117" s="17">
        <f t="array" ref="M117">XLOOKUP(REC.L.F!$B117,SETORES!B:B,SETORES!A:A)</f>
        <v>17</v>
      </c>
    </row>
    <row r="118" ht="14.25" customHeight="1">
      <c r="A118" s="17" t="s">
        <v>39</v>
      </c>
      <c r="B118" s="17" t="s">
        <v>26</v>
      </c>
      <c r="C118" s="16">
        <v>5.0</v>
      </c>
      <c r="D118" s="16"/>
      <c r="E118" s="16">
        <v>5.0</v>
      </c>
      <c r="F118" s="16"/>
      <c r="G118" s="17"/>
      <c r="H118" s="25" t="s">
        <v>186</v>
      </c>
      <c r="I118" s="17"/>
      <c r="J118" s="17" t="s">
        <v>130</v>
      </c>
      <c r="K118" s="17">
        <v>117.0</v>
      </c>
      <c r="L118" s="17">
        <f t="array" ref="L118">XLOOKUP(REC.L.F!$A118,MACROZONAS!B:B,MACROZONAS!A:A)</f>
        <v>5</v>
      </c>
      <c r="M118" s="17">
        <f t="array" ref="M118">XLOOKUP(REC.L.F!$B118,SETORES!B:B,SETORES!A:A)</f>
        <v>17</v>
      </c>
    </row>
    <row r="119" ht="14.25" customHeight="1">
      <c r="A119" s="17" t="s">
        <v>29</v>
      </c>
      <c r="B119" s="17" t="s">
        <v>26</v>
      </c>
      <c r="C119" s="16">
        <v>5.0</v>
      </c>
      <c r="D119" s="16"/>
      <c r="E119" s="16">
        <v>5.0</v>
      </c>
      <c r="F119" s="16"/>
      <c r="G119" s="17"/>
      <c r="H119" s="25" t="s">
        <v>186</v>
      </c>
      <c r="I119" s="17"/>
      <c r="J119" s="17" t="s">
        <v>130</v>
      </c>
      <c r="K119" s="17">
        <v>118.0</v>
      </c>
      <c r="L119" s="17">
        <f t="array" ref="L119">XLOOKUP(REC.L.F!$A119,MACROZONAS!B:B,MACROZONAS!A:A)</f>
        <v>6</v>
      </c>
      <c r="M119" s="17">
        <f t="array" ref="M119">XLOOKUP(REC.L.F!$B119,SETORES!B:B,SETORES!A:A)</f>
        <v>17</v>
      </c>
    </row>
    <row r="120" ht="14.25" customHeight="1">
      <c r="A120" s="17" t="s">
        <v>43</v>
      </c>
      <c r="B120" s="17" t="s">
        <v>26</v>
      </c>
      <c r="C120" s="16">
        <v>5.0</v>
      </c>
      <c r="D120" s="16"/>
      <c r="E120" s="16">
        <v>5.0</v>
      </c>
      <c r="F120" s="16"/>
      <c r="G120" s="17"/>
      <c r="H120" s="25" t="s">
        <v>186</v>
      </c>
      <c r="I120" s="17"/>
      <c r="J120" s="17" t="s">
        <v>130</v>
      </c>
      <c r="K120" s="17">
        <v>119.0</v>
      </c>
      <c r="L120" s="17">
        <f t="array" ref="L120">XLOOKUP(REC.L.F!$A120,MACROZONAS!B:B,MACROZONAS!A:A)</f>
        <v>7</v>
      </c>
      <c r="M120" s="17">
        <f t="array" ref="M120">XLOOKUP(REC.L.F!$B120,SETORES!B:B,SETORES!A:A)</f>
        <v>17</v>
      </c>
    </row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dataValidations>
    <dataValidation type="list" allowBlank="1" showErrorMessage="1" sqref="A2:A120">
      <formula1>MACROZONAS!$B$2:$B$8</formula1>
    </dataValidation>
    <dataValidation type="list" allowBlank="1" showErrorMessage="1" sqref="B2:B120">
      <formula1>SETORES!$B$2:$B$18</formula1>
    </dataValidation>
  </dataValidations>
  <printOptions/>
  <pageMargins bottom="0.787401575" footer="0.0" header="0.0" left="0.511811024" right="0.511811024" top="0.787401575"/>
  <pageSetup orientation="landscape"/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1E4F5"/>
    <pageSetUpPr/>
  </sheetPr>
  <sheetViews>
    <sheetView workbookViewId="0"/>
  </sheetViews>
  <sheetFormatPr customHeight="1" defaultColWidth="12.63" defaultRowHeight="15.0"/>
  <cols>
    <col customWidth="1" min="1" max="1" width="23.75"/>
    <col customWidth="1" min="2" max="26" width="27.75"/>
  </cols>
  <sheetData>
    <row r="1" ht="14.25" customHeight="1">
      <c r="A1" s="24" t="s">
        <v>46</v>
      </c>
      <c r="B1" s="24" t="s">
        <v>47</v>
      </c>
      <c r="C1" s="24" t="s">
        <v>187</v>
      </c>
      <c r="D1" s="24" t="s">
        <v>158</v>
      </c>
      <c r="E1" s="24" t="s">
        <v>159</v>
      </c>
      <c r="F1" s="24" t="s">
        <v>160</v>
      </c>
      <c r="G1" s="24" t="s">
        <v>127</v>
      </c>
      <c r="H1" s="24" t="s">
        <v>188</v>
      </c>
      <c r="I1" s="24" t="s">
        <v>189</v>
      </c>
      <c r="J1" s="24" t="s">
        <v>190</v>
      </c>
    </row>
    <row r="2" ht="14.25" customHeight="1">
      <c r="A2" s="17" t="s">
        <v>29</v>
      </c>
      <c r="B2" s="17" t="s">
        <v>26</v>
      </c>
      <c r="C2" s="16">
        <v>80.0</v>
      </c>
      <c r="D2" s="17"/>
      <c r="E2" s="25">
        <v>8.0</v>
      </c>
      <c r="F2" s="17"/>
      <c r="G2" s="17" t="s">
        <v>130</v>
      </c>
      <c r="H2" s="17">
        <v>1.0</v>
      </c>
      <c r="I2" s="17">
        <f t="array" ref="I2">XLOOKUP(TP!$A2,MACROZONAS!B:B,MACROZONAS!A:A)</f>
        <v>6</v>
      </c>
      <c r="J2" s="17">
        <f t="array" ref="J2">XLOOKUP(TP!$B2,SETORES!B:B,SETORES!A:A)</f>
        <v>17</v>
      </c>
    </row>
    <row r="3" ht="14.25" customHeight="1">
      <c r="A3" s="17" t="s">
        <v>43</v>
      </c>
      <c r="B3" s="17" t="s">
        <v>26</v>
      </c>
      <c r="C3" s="16">
        <v>80.0</v>
      </c>
      <c r="D3" s="17"/>
      <c r="E3" s="25">
        <v>8.0</v>
      </c>
      <c r="F3" s="17"/>
      <c r="G3" s="17" t="s">
        <v>130</v>
      </c>
      <c r="H3" s="17">
        <v>2.0</v>
      </c>
      <c r="I3" s="17">
        <f t="array" ref="I3">XLOOKUP(TP!$A3,MACROZONAS!B:B,MACROZONAS!A:A)</f>
        <v>7</v>
      </c>
      <c r="J3" s="17">
        <f t="array" ref="J3">XLOOKUP(TP!$B3,SETORES!B:B,SETORES!A:A)</f>
        <v>17</v>
      </c>
    </row>
    <row r="4" ht="14.25" customHeight="1">
      <c r="A4" s="17" t="s">
        <v>42</v>
      </c>
      <c r="B4" s="17" t="s">
        <v>26</v>
      </c>
      <c r="C4" s="16">
        <v>20.0</v>
      </c>
      <c r="D4" s="17"/>
      <c r="E4" s="25">
        <v>8.0</v>
      </c>
      <c r="F4" s="17"/>
      <c r="G4" s="17" t="s">
        <v>130</v>
      </c>
      <c r="H4" s="17">
        <v>3.0</v>
      </c>
      <c r="I4" s="17">
        <f t="array" ref="I4">XLOOKUP(TP!$A4,MACROZONAS!B:B,MACROZONAS!A:A)</f>
        <v>3</v>
      </c>
      <c r="J4" s="17">
        <f t="array" ref="J4">XLOOKUP(TP!$B4,SETORES!B:B,SETORES!A:A)</f>
        <v>17</v>
      </c>
    </row>
    <row r="5" ht="14.25" customHeight="1">
      <c r="A5" s="17" t="s">
        <v>18</v>
      </c>
      <c r="B5" s="17" t="s">
        <v>26</v>
      </c>
      <c r="C5" s="16">
        <v>20.0</v>
      </c>
      <c r="D5" s="17"/>
      <c r="E5" s="25">
        <v>8.0</v>
      </c>
      <c r="F5" s="17"/>
      <c r="G5" s="17" t="s">
        <v>130</v>
      </c>
      <c r="H5" s="17">
        <v>4.0</v>
      </c>
      <c r="I5" s="17">
        <f t="array" ref="I5">XLOOKUP(TP!$A5,MACROZONAS!B:B,MACROZONAS!A:A)</f>
        <v>4</v>
      </c>
      <c r="J5" s="17">
        <f t="array" ref="J5">XLOOKUP(TP!$B5,SETORES!B:B,SETORES!A:A)</f>
        <v>17</v>
      </c>
    </row>
    <row r="6" ht="14.25" customHeight="1">
      <c r="A6" s="17" t="s">
        <v>33</v>
      </c>
      <c r="B6" s="17" t="s">
        <v>26</v>
      </c>
      <c r="C6" s="16">
        <v>20.0</v>
      </c>
      <c r="D6" s="17"/>
      <c r="E6" s="25">
        <v>8.0</v>
      </c>
      <c r="F6" s="17"/>
      <c r="G6" s="17" t="s">
        <v>130</v>
      </c>
      <c r="H6" s="17">
        <v>5.0</v>
      </c>
      <c r="I6" s="17">
        <f t="array" ref="I6">XLOOKUP(TP!$A6,MACROZONAS!B:B,MACROZONAS!A:A)</f>
        <v>1</v>
      </c>
      <c r="J6" s="17">
        <f t="array" ref="J6">XLOOKUP(TP!$B6,SETORES!B:B,SETORES!A:A)</f>
        <v>17</v>
      </c>
    </row>
    <row r="7" ht="14.25" customHeight="1">
      <c r="A7" s="17" t="s">
        <v>28</v>
      </c>
      <c r="B7" s="17" t="s">
        <v>26</v>
      </c>
      <c r="C7" s="16">
        <v>20.0</v>
      </c>
      <c r="D7" s="17"/>
      <c r="E7" s="25">
        <v>8.0</v>
      </c>
      <c r="F7" s="17"/>
      <c r="G7" s="17" t="s">
        <v>130</v>
      </c>
      <c r="H7" s="17">
        <v>6.0</v>
      </c>
      <c r="I7" s="17">
        <f t="array" ref="I7">XLOOKUP(TP!$A7,MACROZONAS!B:B,MACROZONAS!A:A)</f>
        <v>2</v>
      </c>
      <c r="J7" s="17">
        <f t="array" ref="J7">XLOOKUP(TP!$B7,SETORES!B:B,SETORES!A:A)</f>
        <v>17</v>
      </c>
    </row>
    <row r="8" ht="14.25" customHeight="1">
      <c r="A8" s="17" t="s">
        <v>39</v>
      </c>
      <c r="B8" s="17" t="s">
        <v>26</v>
      </c>
      <c r="C8" s="16">
        <v>80.0</v>
      </c>
      <c r="D8" s="17"/>
      <c r="E8" s="25">
        <v>8.0</v>
      </c>
      <c r="F8" s="17"/>
      <c r="G8" s="17" t="s">
        <v>130</v>
      </c>
      <c r="H8" s="17">
        <v>7.0</v>
      </c>
      <c r="I8" s="17">
        <f t="array" ref="I8">XLOOKUP(TP!$A8,MACROZONAS!B:B,MACROZONAS!A:A)</f>
        <v>5</v>
      </c>
      <c r="J8" s="17">
        <f t="array" ref="J8">XLOOKUP(TP!$B8,SETORES!B:B,SETORES!A:A)</f>
        <v>17</v>
      </c>
    </row>
    <row r="9" ht="14.25" customHeight="1">
      <c r="A9" s="17" t="s">
        <v>29</v>
      </c>
      <c r="B9" s="17" t="s">
        <v>35</v>
      </c>
      <c r="C9" s="16">
        <v>80.0</v>
      </c>
      <c r="D9" s="17"/>
      <c r="E9" s="25">
        <v>8.0</v>
      </c>
      <c r="F9" s="17"/>
      <c r="G9" s="17" t="s">
        <v>130</v>
      </c>
      <c r="H9" s="17">
        <v>8.0</v>
      </c>
      <c r="I9" s="17">
        <f t="array" ref="I9">XLOOKUP(TP!$A9,MACROZONAS!B:B,MACROZONAS!A:A)</f>
        <v>6</v>
      </c>
      <c r="J9" s="17">
        <f t="array" ref="J9">XLOOKUP(TP!$B9,SETORES!B:B,SETORES!A:A)</f>
        <v>16</v>
      </c>
    </row>
    <row r="10" ht="14.25" customHeight="1">
      <c r="A10" s="17" t="s">
        <v>43</v>
      </c>
      <c r="B10" s="17" t="s">
        <v>35</v>
      </c>
      <c r="C10" s="16">
        <v>80.0</v>
      </c>
      <c r="D10" s="17"/>
      <c r="E10" s="25">
        <v>8.0</v>
      </c>
      <c r="F10" s="17"/>
      <c r="G10" s="17" t="s">
        <v>130</v>
      </c>
      <c r="H10" s="17">
        <v>9.0</v>
      </c>
      <c r="I10" s="17">
        <f t="array" ref="I10">XLOOKUP(TP!$A10,MACROZONAS!B:B,MACROZONAS!A:A)</f>
        <v>7</v>
      </c>
      <c r="J10" s="17">
        <f t="array" ref="J10">XLOOKUP(TP!$B10,SETORES!B:B,SETORES!A:A)</f>
        <v>16</v>
      </c>
    </row>
    <row r="11" ht="14.25" customHeight="1">
      <c r="A11" s="17" t="s">
        <v>42</v>
      </c>
      <c r="B11" s="17" t="s">
        <v>35</v>
      </c>
      <c r="C11" s="16">
        <v>20.0</v>
      </c>
      <c r="D11" s="17"/>
      <c r="E11" s="25">
        <v>8.0</v>
      </c>
      <c r="F11" s="17"/>
      <c r="G11" s="17" t="s">
        <v>130</v>
      </c>
      <c r="H11" s="17">
        <v>10.0</v>
      </c>
      <c r="I11" s="17">
        <f t="array" ref="I11">XLOOKUP(TP!$A11,MACROZONAS!B:B,MACROZONAS!A:A)</f>
        <v>3</v>
      </c>
      <c r="J11" s="17">
        <f t="array" ref="J11">XLOOKUP(TP!$B11,SETORES!B:B,SETORES!A:A)</f>
        <v>16</v>
      </c>
    </row>
    <row r="12" ht="14.25" customHeight="1">
      <c r="A12" s="17" t="s">
        <v>18</v>
      </c>
      <c r="B12" s="17" t="s">
        <v>35</v>
      </c>
      <c r="C12" s="16">
        <v>20.0</v>
      </c>
      <c r="D12" s="17"/>
      <c r="E12" s="25">
        <v>8.0</v>
      </c>
      <c r="F12" s="17"/>
      <c r="G12" s="17" t="s">
        <v>130</v>
      </c>
      <c r="H12" s="17">
        <v>11.0</v>
      </c>
      <c r="I12" s="17">
        <f t="array" ref="I12">XLOOKUP(TP!$A12,MACROZONAS!B:B,MACROZONAS!A:A)</f>
        <v>4</v>
      </c>
      <c r="J12" s="17">
        <f t="array" ref="J12">XLOOKUP(TP!$B12,SETORES!B:B,SETORES!A:A)</f>
        <v>16</v>
      </c>
    </row>
    <row r="13" ht="14.25" customHeight="1">
      <c r="A13" s="17" t="s">
        <v>33</v>
      </c>
      <c r="B13" s="17" t="s">
        <v>35</v>
      </c>
      <c r="C13" s="16">
        <v>20.0</v>
      </c>
      <c r="D13" s="17"/>
      <c r="E13" s="25">
        <v>8.0</v>
      </c>
      <c r="F13" s="17"/>
      <c r="G13" s="17" t="s">
        <v>130</v>
      </c>
      <c r="H13" s="17">
        <v>12.0</v>
      </c>
      <c r="I13" s="17">
        <f t="array" ref="I13">XLOOKUP(TP!$A13,MACROZONAS!B:B,MACROZONAS!A:A)</f>
        <v>1</v>
      </c>
      <c r="J13" s="17">
        <f t="array" ref="J13">XLOOKUP(TP!$B13,SETORES!B:B,SETORES!A:A)</f>
        <v>16</v>
      </c>
    </row>
    <row r="14" ht="14.25" customHeight="1">
      <c r="A14" s="17" t="s">
        <v>28</v>
      </c>
      <c r="B14" s="17" t="s">
        <v>35</v>
      </c>
      <c r="C14" s="16">
        <v>20.0</v>
      </c>
      <c r="D14" s="17"/>
      <c r="E14" s="25">
        <v>8.0</v>
      </c>
      <c r="F14" s="17"/>
      <c r="G14" s="17" t="s">
        <v>130</v>
      </c>
      <c r="H14" s="17">
        <v>13.0</v>
      </c>
      <c r="I14" s="17">
        <f t="array" ref="I14">XLOOKUP(TP!$A14,MACROZONAS!B:B,MACROZONAS!A:A)</f>
        <v>2</v>
      </c>
      <c r="J14" s="17">
        <f t="array" ref="J14">XLOOKUP(TP!$B14,SETORES!B:B,SETORES!A:A)</f>
        <v>16</v>
      </c>
    </row>
    <row r="15" ht="14.25" customHeight="1">
      <c r="A15" s="17" t="s">
        <v>39</v>
      </c>
      <c r="B15" s="17" t="s">
        <v>35</v>
      </c>
      <c r="C15" s="16">
        <v>80.0</v>
      </c>
      <c r="D15" s="17"/>
      <c r="E15" s="25">
        <v>8.0</v>
      </c>
      <c r="F15" s="17"/>
      <c r="G15" s="17" t="s">
        <v>130</v>
      </c>
      <c r="H15" s="17">
        <v>14.0</v>
      </c>
      <c r="I15" s="17">
        <f t="array" ref="I15">XLOOKUP(TP!$A15,MACROZONAS!B:B,MACROZONAS!A:A)</f>
        <v>5</v>
      </c>
      <c r="J15" s="17">
        <f t="array" ref="J15">XLOOKUP(TP!$B15,SETORES!B:B,SETORES!A:A)</f>
        <v>16</v>
      </c>
    </row>
    <row r="16" ht="14.25" customHeight="1">
      <c r="A16" s="17" t="s">
        <v>29</v>
      </c>
      <c r="B16" s="17" t="s">
        <v>12</v>
      </c>
      <c r="C16" s="16">
        <v>80.0</v>
      </c>
      <c r="D16" s="17"/>
      <c r="E16" s="25">
        <v>8.0</v>
      </c>
      <c r="F16" s="17"/>
      <c r="G16" s="17" t="s">
        <v>130</v>
      </c>
      <c r="H16" s="17">
        <v>15.0</v>
      </c>
      <c r="I16" s="17">
        <f t="array" ref="I16">XLOOKUP(TP!$A16,MACROZONAS!B:B,MACROZONAS!A:A)</f>
        <v>6</v>
      </c>
      <c r="J16" s="17">
        <f t="array" ref="J16">XLOOKUP(TP!$B16,SETORES!B:B,SETORES!A:A)</f>
        <v>1</v>
      </c>
    </row>
    <row r="17" ht="14.25" customHeight="1">
      <c r="A17" s="17" t="s">
        <v>43</v>
      </c>
      <c r="B17" s="17" t="s">
        <v>12</v>
      </c>
      <c r="C17" s="16">
        <v>80.0</v>
      </c>
      <c r="D17" s="17"/>
      <c r="E17" s="25">
        <v>8.0</v>
      </c>
      <c r="F17" s="17"/>
      <c r="G17" s="17" t="s">
        <v>130</v>
      </c>
      <c r="H17" s="17">
        <v>16.0</v>
      </c>
      <c r="I17" s="17">
        <f t="array" ref="I17">XLOOKUP(TP!$A17,MACROZONAS!B:B,MACROZONAS!A:A)</f>
        <v>7</v>
      </c>
      <c r="J17" s="17">
        <f t="array" ref="J17">XLOOKUP(TP!$B17,SETORES!B:B,SETORES!A:A)</f>
        <v>1</v>
      </c>
    </row>
    <row r="18" ht="14.25" customHeight="1">
      <c r="A18" s="17" t="s">
        <v>42</v>
      </c>
      <c r="B18" s="17" t="s">
        <v>12</v>
      </c>
      <c r="C18" s="16">
        <v>20.0</v>
      </c>
      <c r="D18" s="17"/>
      <c r="E18" s="25">
        <v>8.0</v>
      </c>
      <c r="F18" s="17"/>
      <c r="G18" s="17" t="s">
        <v>130</v>
      </c>
      <c r="H18" s="17">
        <v>17.0</v>
      </c>
      <c r="I18" s="17">
        <f t="array" ref="I18">XLOOKUP(TP!$A18,MACROZONAS!B:B,MACROZONAS!A:A)</f>
        <v>3</v>
      </c>
      <c r="J18" s="17">
        <f t="array" ref="J18">XLOOKUP(TP!$B18,SETORES!B:B,SETORES!A:A)</f>
        <v>1</v>
      </c>
    </row>
    <row r="19" ht="14.25" customHeight="1">
      <c r="A19" s="17" t="s">
        <v>18</v>
      </c>
      <c r="B19" s="17" t="s">
        <v>12</v>
      </c>
      <c r="C19" s="16">
        <v>20.0</v>
      </c>
      <c r="D19" s="17"/>
      <c r="E19" s="25">
        <v>8.0</v>
      </c>
      <c r="F19" s="17"/>
      <c r="G19" s="17" t="s">
        <v>130</v>
      </c>
      <c r="H19" s="17">
        <v>18.0</v>
      </c>
      <c r="I19" s="17">
        <f t="array" ref="I19">XLOOKUP(TP!$A19,MACROZONAS!B:B,MACROZONAS!A:A)</f>
        <v>4</v>
      </c>
      <c r="J19" s="17">
        <f t="array" ref="J19">XLOOKUP(TP!$B19,SETORES!B:B,SETORES!A:A)</f>
        <v>1</v>
      </c>
    </row>
    <row r="20" ht="14.25" customHeight="1">
      <c r="A20" s="17" t="s">
        <v>33</v>
      </c>
      <c r="B20" s="17" t="s">
        <v>12</v>
      </c>
      <c r="C20" s="16">
        <v>20.0</v>
      </c>
      <c r="D20" s="17"/>
      <c r="E20" s="25">
        <v>8.0</v>
      </c>
      <c r="F20" s="17"/>
      <c r="G20" s="17" t="s">
        <v>130</v>
      </c>
      <c r="H20" s="17">
        <v>19.0</v>
      </c>
      <c r="I20" s="17">
        <f t="array" ref="I20">XLOOKUP(TP!$A20,MACROZONAS!B:B,MACROZONAS!A:A)</f>
        <v>1</v>
      </c>
      <c r="J20" s="17">
        <f t="array" ref="J20">XLOOKUP(TP!$B20,SETORES!B:B,SETORES!A:A)</f>
        <v>1</v>
      </c>
    </row>
    <row r="21" ht="14.25" customHeight="1">
      <c r="A21" s="17" t="s">
        <v>28</v>
      </c>
      <c r="B21" s="17" t="s">
        <v>12</v>
      </c>
      <c r="C21" s="16">
        <v>20.0</v>
      </c>
      <c r="D21" s="17"/>
      <c r="E21" s="25">
        <v>8.0</v>
      </c>
      <c r="F21" s="17"/>
      <c r="G21" s="17" t="s">
        <v>130</v>
      </c>
      <c r="H21" s="17">
        <v>20.0</v>
      </c>
      <c r="I21" s="17">
        <f t="array" ref="I21">XLOOKUP(TP!$A21,MACROZONAS!B:B,MACROZONAS!A:A)</f>
        <v>2</v>
      </c>
      <c r="J21" s="17">
        <f t="array" ref="J21">XLOOKUP(TP!$B21,SETORES!B:B,SETORES!A:A)</f>
        <v>1</v>
      </c>
    </row>
    <row r="22" ht="14.25" customHeight="1">
      <c r="A22" s="17" t="s">
        <v>39</v>
      </c>
      <c r="B22" s="17" t="s">
        <v>12</v>
      </c>
      <c r="C22" s="16">
        <v>80.0</v>
      </c>
      <c r="D22" s="17"/>
      <c r="E22" s="25">
        <v>8.0</v>
      </c>
      <c r="F22" s="17"/>
      <c r="G22" s="17" t="s">
        <v>130</v>
      </c>
      <c r="H22" s="17">
        <v>21.0</v>
      </c>
      <c r="I22" s="17">
        <f t="array" ref="I22">XLOOKUP(TP!$A22,MACROZONAS!B:B,MACROZONAS!A:A)</f>
        <v>5</v>
      </c>
      <c r="J22" s="17">
        <f t="array" ref="J22">XLOOKUP(TP!$B22,SETORES!B:B,SETORES!A:A)</f>
        <v>1</v>
      </c>
    </row>
    <row r="23" ht="14.25" customHeight="1">
      <c r="A23" s="17" t="s">
        <v>29</v>
      </c>
      <c r="B23" s="17" t="s">
        <v>34</v>
      </c>
      <c r="C23" s="16">
        <v>80.0</v>
      </c>
      <c r="D23" s="17"/>
      <c r="E23" s="25">
        <v>8.0</v>
      </c>
      <c r="F23" s="17"/>
      <c r="G23" s="17" t="s">
        <v>130</v>
      </c>
      <c r="H23" s="17">
        <v>22.0</v>
      </c>
      <c r="I23" s="17">
        <f t="array" ref="I23">XLOOKUP(TP!$A23,MACROZONAS!B:B,MACROZONAS!A:A)</f>
        <v>6</v>
      </c>
      <c r="J23" s="17">
        <f t="array" ref="J23">XLOOKUP(TP!$B23,SETORES!B:B,SETORES!A:A)</f>
        <v>2</v>
      </c>
    </row>
    <row r="24" ht="14.25" customHeight="1">
      <c r="A24" s="17" t="s">
        <v>43</v>
      </c>
      <c r="B24" s="17" t="s">
        <v>34</v>
      </c>
      <c r="C24" s="16">
        <v>80.0</v>
      </c>
      <c r="D24" s="17"/>
      <c r="E24" s="25">
        <v>8.0</v>
      </c>
      <c r="F24" s="17"/>
      <c r="G24" s="17" t="s">
        <v>130</v>
      </c>
      <c r="H24" s="17">
        <v>23.0</v>
      </c>
      <c r="I24" s="17">
        <f t="array" ref="I24">XLOOKUP(TP!$A24,MACROZONAS!B:B,MACROZONAS!A:A)</f>
        <v>7</v>
      </c>
      <c r="J24" s="17">
        <f t="array" ref="J24">XLOOKUP(TP!$B24,SETORES!B:B,SETORES!A:A)</f>
        <v>2</v>
      </c>
    </row>
    <row r="25" ht="14.25" customHeight="1">
      <c r="A25" s="17" t="s">
        <v>42</v>
      </c>
      <c r="B25" s="17" t="s">
        <v>34</v>
      </c>
      <c r="C25" s="16">
        <v>20.0</v>
      </c>
      <c r="D25" s="17"/>
      <c r="E25" s="25">
        <v>8.0</v>
      </c>
      <c r="F25" s="17"/>
      <c r="G25" s="17" t="s">
        <v>130</v>
      </c>
      <c r="H25" s="17">
        <v>24.0</v>
      </c>
      <c r="I25" s="17">
        <f t="array" ref="I25">XLOOKUP(TP!$A25,MACROZONAS!B:B,MACROZONAS!A:A)</f>
        <v>3</v>
      </c>
      <c r="J25" s="17">
        <f t="array" ref="J25">XLOOKUP(TP!$B25,SETORES!B:B,SETORES!A:A)</f>
        <v>2</v>
      </c>
    </row>
    <row r="26" ht="14.25" customHeight="1">
      <c r="A26" s="17" t="s">
        <v>18</v>
      </c>
      <c r="B26" s="17" t="s">
        <v>34</v>
      </c>
      <c r="C26" s="16">
        <v>20.0</v>
      </c>
      <c r="D26" s="17"/>
      <c r="E26" s="25">
        <v>8.0</v>
      </c>
      <c r="F26" s="17"/>
      <c r="G26" s="17" t="s">
        <v>130</v>
      </c>
      <c r="H26" s="17">
        <v>25.0</v>
      </c>
      <c r="I26" s="17">
        <f t="array" ref="I26">XLOOKUP(TP!$A26,MACROZONAS!B:B,MACROZONAS!A:A)</f>
        <v>4</v>
      </c>
      <c r="J26" s="17">
        <f t="array" ref="J26">XLOOKUP(TP!$B26,SETORES!B:B,SETORES!A:A)</f>
        <v>2</v>
      </c>
    </row>
    <row r="27" ht="14.25" customHeight="1">
      <c r="A27" s="17" t="s">
        <v>33</v>
      </c>
      <c r="B27" s="17" t="s">
        <v>34</v>
      </c>
      <c r="C27" s="16">
        <v>20.0</v>
      </c>
      <c r="D27" s="25"/>
      <c r="E27" s="25">
        <v>8.0</v>
      </c>
      <c r="F27" s="25"/>
      <c r="G27" s="17" t="s">
        <v>130</v>
      </c>
      <c r="H27" s="17">
        <v>26.0</v>
      </c>
      <c r="I27" s="17">
        <f t="array" ref="I27">XLOOKUP(TP!$A27,MACROZONAS!B:B,MACROZONAS!A:A)</f>
        <v>1</v>
      </c>
      <c r="J27" s="17">
        <f t="array" ref="J27">XLOOKUP(TP!$B27,SETORES!B:B,SETORES!A:A)</f>
        <v>2</v>
      </c>
    </row>
    <row r="28" ht="14.25" customHeight="1">
      <c r="A28" s="17" t="s">
        <v>28</v>
      </c>
      <c r="B28" s="17" t="s">
        <v>34</v>
      </c>
      <c r="C28" s="16">
        <v>20.0</v>
      </c>
      <c r="D28" s="17"/>
      <c r="E28" s="25">
        <v>8.0</v>
      </c>
      <c r="F28" s="17"/>
      <c r="G28" s="17" t="s">
        <v>130</v>
      </c>
      <c r="H28" s="17">
        <v>27.0</v>
      </c>
      <c r="I28" s="17">
        <f t="array" ref="I28">XLOOKUP(TP!$A28,MACROZONAS!B:B,MACROZONAS!A:A)</f>
        <v>2</v>
      </c>
      <c r="J28" s="17">
        <f t="array" ref="J28">XLOOKUP(TP!$B28,SETORES!B:B,SETORES!A:A)</f>
        <v>2</v>
      </c>
    </row>
    <row r="29" ht="14.25" customHeight="1">
      <c r="A29" s="17" t="s">
        <v>39</v>
      </c>
      <c r="B29" s="17" t="s">
        <v>34</v>
      </c>
      <c r="C29" s="16">
        <v>80.0</v>
      </c>
      <c r="D29" s="17"/>
      <c r="E29" s="25">
        <v>8.0</v>
      </c>
      <c r="F29" s="17"/>
      <c r="G29" s="17" t="s">
        <v>130</v>
      </c>
      <c r="H29" s="17">
        <v>28.0</v>
      </c>
      <c r="I29" s="17">
        <f t="array" ref="I29">XLOOKUP(TP!$A29,MACROZONAS!B:B,MACROZONAS!A:A)</f>
        <v>5</v>
      </c>
      <c r="J29" s="17">
        <f t="array" ref="J29">XLOOKUP(TP!$B29,SETORES!B:B,SETORES!A:A)</f>
        <v>2</v>
      </c>
    </row>
    <row r="30" ht="14.25" customHeight="1">
      <c r="A30" s="17" t="s">
        <v>29</v>
      </c>
      <c r="B30" s="17" t="s">
        <v>41</v>
      </c>
      <c r="C30" s="16">
        <v>80.0</v>
      </c>
      <c r="D30" s="17"/>
      <c r="E30" s="25">
        <v>8.0</v>
      </c>
      <c r="F30" s="17"/>
      <c r="G30" s="17" t="s">
        <v>130</v>
      </c>
      <c r="H30" s="17">
        <v>29.0</v>
      </c>
      <c r="I30" s="17">
        <f t="array" ref="I30">XLOOKUP(TP!$A30,MACROZONAS!B:B,MACROZONAS!A:A)</f>
        <v>6</v>
      </c>
      <c r="J30" s="17">
        <f t="array" ref="J30">XLOOKUP(TP!$B30,SETORES!B:B,SETORES!A:A)</f>
        <v>3</v>
      </c>
    </row>
    <row r="31" ht="14.25" customHeight="1">
      <c r="A31" s="17" t="s">
        <v>43</v>
      </c>
      <c r="B31" s="17" t="s">
        <v>41</v>
      </c>
      <c r="C31" s="16">
        <v>80.0</v>
      </c>
      <c r="D31" s="17"/>
      <c r="E31" s="25">
        <v>8.0</v>
      </c>
      <c r="F31" s="17"/>
      <c r="G31" s="17" t="s">
        <v>130</v>
      </c>
      <c r="H31" s="17">
        <v>30.0</v>
      </c>
      <c r="I31" s="17">
        <f t="array" ref="I31">XLOOKUP(TP!$A31,MACROZONAS!B:B,MACROZONAS!A:A)</f>
        <v>7</v>
      </c>
      <c r="J31" s="17">
        <f t="array" ref="J31">XLOOKUP(TP!$B31,SETORES!B:B,SETORES!A:A)</f>
        <v>3</v>
      </c>
    </row>
    <row r="32" ht="14.25" customHeight="1">
      <c r="A32" s="17" t="s">
        <v>42</v>
      </c>
      <c r="B32" s="17" t="s">
        <v>41</v>
      </c>
      <c r="C32" s="16">
        <v>20.0</v>
      </c>
      <c r="D32" s="17"/>
      <c r="E32" s="25">
        <v>8.0</v>
      </c>
      <c r="F32" s="17"/>
      <c r="G32" s="17" t="s">
        <v>130</v>
      </c>
      <c r="H32" s="17">
        <v>31.0</v>
      </c>
      <c r="I32" s="17">
        <f t="array" ref="I32">XLOOKUP(TP!$A32,MACROZONAS!B:B,MACROZONAS!A:A)</f>
        <v>3</v>
      </c>
      <c r="J32" s="17">
        <f t="array" ref="J32">XLOOKUP(TP!$B32,SETORES!B:B,SETORES!A:A)</f>
        <v>3</v>
      </c>
    </row>
    <row r="33" ht="14.25" customHeight="1">
      <c r="A33" s="17" t="s">
        <v>18</v>
      </c>
      <c r="B33" s="17" t="s">
        <v>41</v>
      </c>
      <c r="C33" s="16">
        <v>20.0</v>
      </c>
      <c r="D33" s="17"/>
      <c r="E33" s="25">
        <v>8.0</v>
      </c>
      <c r="F33" s="17"/>
      <c r="G33" s="17" t="s">
        <v>130</v>
      </c>
      <c r="H33" s="17">
        <v>32.0</v>
      </c>
      <c r="I33" s="17">
        <f t="array" ref="I33">XLOOKUP(TP!$A33,MACROZONAS!B:B,MACROZONAS!A:A)</f>
        <v>4</v>
      </c>
      <c r="J33" s="17">
        <f t="array" ref="J33">XLOOKUP(TP!$B33,SETORES!B:B,SETORES!A:A)</f>
        <v>3</v>
      </c>
    </row>
    <row r="34" ht="14.25" customHeight="1">
      <c r="A34" s="17" t="s">
        <v>33</v>
      </c>
      <c r="B34" s="17" t="s">
        <v>41</v>
      </c>
      <c r="C34" s="16">
        <v>20.0</v>
      </c>
      <c r="D34" s="17"/>
      <c r="E34" s="25">
        <v>8.0</v>
      </c>
      <c r="F34" s="17"/>
      <c r="G34" s="17" t="s">
        <v>130</v>
      </c>
      <c r="H34" s="17">
        <v>33.0</v>
      </c>
      <c r="I34" s="17">
        <f t="array" ref="I34">XLOOKUP(TP!$A34,MACROZONAS!B:B,MACROZONAS!A:A)</f>
        <v>1</v>
      </c>
      <c r="J34" s="17">
        <f t="array" ref="J34">XLOOKUP(TP!$B34,SETORES!B:B,SETORES!A:A)</f>
        <v>3</v>
      </c>
    </row>
    <row r="35" ht="14.25" customHeight="1">
      <c r="A35" s="17" t="s">
        <v>28</v>
      </c>
      <c r="B35" s="17" t="s">
        <v>41</v>
      </c>
      <c r="C35" s="16">
        <v>20.0</v>
      </c>
      <c r="D35" s="17"/>
      <c r="E35" s="25">
        <v>8.0</v>
      </c>
      <c r="F35" s="17"/>
      <c r="G35" s="17" t="s">
        <v>130</v>
      </c>
      <c r="H35" s="17">
        <v>34.0</v>
      </c>
      <c r="I35" s="17">
        <f t="array" ref="I35">XLOOKUP(TP!$A35,MACROZONAS!B:B,MACROZONAS!A:A)</f>
        <v>2</v>
      </c>
      <c r="J35" s="17">
        <f t="array" ref="J35">XLOOKUP(TP!$B35,SETORES!B:B,SETORES!A:A)</f>
        <v>3</v>
      </c>
    </row>
    <row r="36" ht="14.25" customHeight="1">
      <c r="A36" s="17" t="s">
        <v>39</v>
      </c>
      <c r="B36" s="17" t="s">
        <v>41</v>
      </c>
      <c r="C36" s="16">
        <v>80.0</v>
      </c>
      <c r="D36" s="17"/>
      <c r="E36" s="25">
        <v>8.0</v>
      </c>
      <c r="F36" s="17"/>
      <c r="G36" s="17" t="s">
        <v>130</v>
      </c>
      <c r="H36" s="17">
        <v>35.0</v>
      </c>
      <c r="I36" s="17">
        <f t="array" ref="I36">XLOOKUP(TP!$A36,MACROZONAS!B:B,MACROZONAS!A:A)</f>
        <v>5</v>
      </c>
      <c r="J36" s="17">
        <f t="array" ref="J36">XLOOKUP(TP!$B36,SETORES!B:B,SETORES!A:A)</f>
        <v>3</v>
      </c>
    </row>
    <row r="37" ht="14.25" customHeight="1">
      <c r="A37" s="17" t="s">
        <v>29</v>
      </c>
      <c r="B37" s="17" t="s">
        <v>25</v>
      </c>
      <c r="C37" s="16">
        <v>80.0</v>
      </c>
      <c r="D37" s="17"/>
      <c r="E37" s="25">
        <v>8.0</v>
      </c>
      <c r="F37" s="17"/>
      <c r="G37" s="17" t="s">
        <v>130</v>
      </c>
      <c r="H37" s="17">
        <v>36.0</v>
      </c>
      <c r="I37" s="17">
        <f t="array" ref="I37">XLOOKUP(TP!$A37,MACROZONAS!B:B,MACROZONAS!A:A)</f>
        <v>6</v>
      </c>
      <c r="J37" s="17">
        <f t="array" ref="J37">XLOOKUP(TP!$B37,SETORES!B:B,SETORES!A:A)</f>
        <v>4</v>
      </c>
    </row>
    <row r="38" ht="14.25" customHeight="1">
      <c r="A38" s="17" t="s">
        <v>43</v>
      </c>
      <c r="B38" s="17" t="s">
        <v>25</v>
      </c>
      <c r="C38" s="16">
        <v>80.0</v>
      </c>
      <c r="D38" s="17"/>
      <c r="E38" s="25">
        <v>8.0</v>
      </c>
      <c r="F38" s="17"/>
      <c r="G38" s="17" t="s">
        <v>130</v>
      </c>
      <c r="H38" s="17">
        <v>37.0</v>
      </c>
      <c r="I38" s="17">
        <f t="array" ref="I38">XLOOKUP(TP!$A38,MACROZONAS!B:B,MACROZONAS!A:A)</f>
        <v>7</v>
      </c>
      <c r="J38" s="17">
        <f t="array" ref="J38">XLOOKUP(TP!$B38,SETORES!B:B,SETORES!A:A)</f>
        <v>4</v>
      </c>
    </row>
    <row r="39" ht="14.25" customHeight="1">
      <c r="A39" s="17" t="s">
        <v>42</v>
      </c>
      <c r="B39" s="17" t="s">
        <v>25</v>
      </c>
      <c r="C39" s="16">
        <v>20.0</v>
      </c>
      <c r="D39" s="17"/>
      <c r="E39" s="25">
        <v>8.0</v>
      </c>
      <c r="F39" s="17"/>
      <c r="G39" s="17" t="s">
        <v>130</v>
      </c>
      <c r="H39" s="17">
        <v>38.0</v>
      </c>
      <c r="I39" s="17">
        <f t="array" ref="I39">XLOOKUP(TP!$A39,MACROZONAS!B:B,MACROZONAS!A:A)</f>
        <v>3</v>
      </c>
      <c r="J39" s="17">
        <f t="array" ref="J39">XLOOKUP(TP!$B39,SETORES!B:B,SETORES!A:A)</f>
        <v>4</v>
      </c>
    </row>
    <row r="40" ht="14.25" customHeight="1">
      <c r="A40" s="17" t="s">
        <v>18</v>
      </c>
      <c r="B40" s="17" t="s">
        <v>25</v>
      </c>
      <c r="C40" s="16">
        <v>20.0</v>
      </c>
      <c r="D40" s="17"/>
      <c r="E40" s="25">
        <v>8.0</v>
      </c>
      <c r="F40" s="17"/>
      <c r="G40" s="17" t="s">
        <v>130</v>
      </c>
      <c r="H40" s="17">
        <v>39.0</v>
      </c>
      <c r="I40" s="17">
        <f t="array" ref="I40">XLOOKUP(TP!$A40,MACROZONAS!B:B,MACROZONAS!A:A)</f>
        <v>4</v>
      </c>
      <c r="J40" s="17">
        <f t="array" ref="J40">XLOOKUP(TP!$B40,SETORES!B:B,SETORES!A:A)</f>
        <v>4</v>
      </c>
    </row>
    <row r="41" ht="14.25" customHeight="1">
      <c r="A41" s="17" t="s">
        <v>33</v>
      </c>
      <c r="B41" s="17" t="s">
        <v>25</v>
      </c>
      <c r="C41" s="16">
        <v>20.0</v>
      </c>
      <c r="D41" s="17"/>
      <c r="E41" s="25">
        <v>8.0</v>
      </c>
      <c r="F41" s="17"/>
      <c r="G41" s="17" t="s">
        <v>130</v>
      </c>
      <c r="H41" s="17">
        <v>40.0</v>
      </c>
      <c r="I41" s="17">
        <f t="array" ref="I41">XLOOKUP(TP!$A41,MACROZONAS!B:B,MACROZONAS!A:A)</f>
        <v>1</v>
      </c>
      <c r="J41" s="17">
        <f t="array" ref="J41">XLOOKUP(TP!$B41,SETORES!B:B,SETORES!A:A)</f>
        <v>4</v>
      </c>
    </row>
    <row r="42" ht="14.25" customHeight="1">
      <c r="A42" s="17" t="s">
        <v>28</v>
      </c>
      <c r="B42" s="17" t="s">
        <v>25</v>
      </c>
      <c r="C42" s="16">
        <v>20.0</v>
      </c>
      <c r="D42" s="17"/>
      <c r="E42" s="25">
        <v>8.0</v>
      </c>
      <c r="F42" s="17"/>
      <c r="G42" s="17" t="s">
        <v>130</v>
      </c>
      <c r="H42" s="17">
        <v>41.0</v>
      </c>
      <c r="I42" s="17">
        <f t="array" ref="I42">XLOOKUP(TP!$A42,MACROZONAS!B:B,MACROZONAS!A:A)</f>
        <v>2</v>
      </c>
      <c r="J42" s="17">
        <f t="array" ref="J42">XLOOKUP(TP!$B42,SETORES!B:B,SETORES!A:A)</f>
        <v>4</v>
      </c>
    </row>
    <row r="43" ht="14.25" customHeight="1">
      <c r="A43" s="17" t="s">
        <v>39</v>
      </c>
      <c r="B43" s="17" t="s">
        <v>25</v>
      </c>
      <c r="C43" s="16">
        <v>80.0</v>
      </c>
      <c r="D43" s="17"/>
      <c r="E43" s="25">
        <v>8.0</v>
      </c>
      <c r="F43" s="17"/>
      <c r="G43" s="17" t="s">
        <v>130</v>
      </c>
      <c r="H43" s="17">
        <v>42.0</v>
      </c>
      <c r="I43" s="17">
        <f t="array" ref="I43">XLOOKUP(TP!$A43,MACROZONAS!B:B,MACROZONAS!A:A)</f>
        <v>5</v>
      </c>
      <c r="J43" s="17">
        <f t="array" ref="J43">XLOOKUP(TP!$B43,SETORES!B:B,SETORES!A:A)</f>
        <v>4</v>
      </c>
    </row>
    <row r="44" ht="14.25" customHeight="1">
      <c r="A44" s="17" t="s">
        <v>29</v>
      </c>
      <c r="B44" s="17" t="s">
        <v>17</v>
      </c>
      <c r="C44" s="16">
        <v>80.0</v>
      </c>
      <c r="D44" s="17"/>
      <c r="E44" s="25">
        <v>8.0</v>
      </c>
      <c r="F44" s="17"/>
      <c r="G44" s="17" t="s">
        <v>130</v>
      </c>
      <c r="H44" s="17">
        <v>43.0</v>
      </c>
      <c r="I44" s="17">
        <f t="array" ref="I44">XLOOKUP(TP!$A44,MACROZONAS!B:B,MACROZONAS!A:A)</f>
        <v>6</v>
      </c>
      <c r="J44" s="17">
        <f t="array" ref="J44">XLOOKUP(TP!$B44,SETORES!B:B,SETORES!A:A)</f>
        <v>5</v>
      </c>
    </row>
    <row r="45" ht="14.25" customHeight="1">
      <c r="A45" s="17" t="s">
        <v>43</v>
      </c>
      <c r="B45" s="17" t="s">
        <v>17</v>
      </c>
      <c r="C45" s="16">
        <v>80.0</v>
      </c>
      <c r="D45" s="17"/>
      <c r="E45" s="25">
        <v>8.0</v>
      </c>
      <c r="F45" s="17"/>
      <c r="G45" s="17" t="s">
        <v>130</v>
      </c>
      <c r="H45" s="17">
        <v>44.0</v>
      </c>
      <c r="I45" s="17">
        <f t="array" ref="I45">XLOOKUP(TP!$A45,MACROZONAS!B:B,MACROZONAS!A:A)</f>
        <v>7</v>
      </c>
      <c r="J45" s="17">
        <f t="array" ref="J45">XLOOKUP(TP!$B45,SETORES!B:B,SETORES!A:A)</f>
        <v>5</v>
      </c>
    </row>
    <row r="46" ht="14.25" customHeight="1">
      <c r="A46" s="17" t="s">
        <v>42</v>
      </c>
      <c r="B46" s="17" t="s">
        <v>17</v>
      </c>
      <c r="C46" s="16">
        <v>20.0</v>
      </c>
      <c r="D46" s="17"/>
      <c r="E46" s="25">
        <v>8.0</v>
      </c>
      <c r="F46" s="17"/>
      <c r="G46" s="17" t="s">
        <v>130</v>
      </c>
      <c r="H46" s="17">
        <v>45.0</v>
      </c>
      <c r="I46" s="17">
        <f t="array" ref="I46">XLOOKUP(TP!$A46,MACROZONAS!B:B,MACROZONAS!A:A)</f>
        <v>3</v>
      </c>
      <c r="J46" s="17">
        <f t="array" ref="J46">XLOOKUP(TP!$B46,SETORES!B:B,SETORES!A:A)</f>
        <v>5</v>
      </c>
    </row>
    <row r="47" ht="14.25" customHeight="1">
      <c r="A47" s="17" t="s">
        <v>18</v>
      </c>
      <c r="B47" s="17" t="s">
        <v>17</v>
      </c>
      <c r="C47" s="16">
        <v>20.0</v>
      </c>
      <c r="D47" s="17"/>
      <c r="E47" s="25">
        <v>8.0</v>
      </c>
      <c r="F47" s="17"/>
      <c r="G47" s="17" t="s">
        <v>130</v>
      </c>
      <c r="H47" s="17">
        <v>46.0</v>
      </c>
      <c r="I47" s="17">
        <f t="array" ref="I47">XLOOKUP(TP!$A47,MACROZONAS!B:B,MACROZONAS!A:A)</f>
        <v>4</v>
      </c>
      <c r="J47" s="17">
        <f t="array" ref="J47">XLOOKUP(TP!$B47,SETORES!B:B,SETORES!A:A)</f>
        <v>5</v>
      </c>
    </row>
    <row r="48" ht="14.25" customHeight="1">
      <c r="A48" s="17" t="s">
        <v>33</v>
      </c>
      <c r="B48" s="17" t="s">
        <v>17</v>
      </c>
      <c r="C48" s="16">
        <v>20.0</v>
      </c>
      <c r="D48" s="17"/>
      <c r="E48" s="25">
        <v>8.0</v>
      </c>
      <c r="F48" s="17"/>
      <c r="G48" s="17" t="s">
        <v>130</v>
      </c>
      <c r="H48" s="17">
        <v>47.0</v>
      </c>
      <c r="I48" s="17">
        <f t="array" ref="I48">XLOOKUP(TP!$A48,MACROZONAS!B:B,MACROZONAS!A:A)</f>
        <v>1</v>
      </c>
      <c r="J48" s="17">
        <f t="array" ref="J48">XLOOKUP(TP!$B48,SETORES!B:B,SETORES!A:A)</f>
        <v>5</v>
      </c>
    </row>
    <row r="49" ht="14.25" customHeight="1">
      <c r="A49" s="17" t="s">
        <v>28</v>
      </c>
      <c r="B49" s="17" t="s">
        <v>17</v>
      </c>
      <c r="C49" s="16">
        <v>20.0</v>
      </c>
      <c r="D49" s="17"/>
      <c r="E49" s="25">
        <v>8.0</v>
      </c>
      <c r="F49" s="17"/>
      <c r="G49" s="17" t="s">
        <v>130</v>
      </c>
      <c r="H49" s="17">
        <v>48.0</v>
      </c>
      <c r="I49" s="17">
        <f t="array" ref="I49">XLOOKUP(TP!$A49,MACROZONAS!B:B,MACROZONAS!A:A)</f>
        <v>2</v>
      </c>
      <c r="J49" s="17">
        <f t="array" ref="J49">XLOOKUP(TP!$B49,SETORES!B:B,SETORES!A:A)</f>
        <v>5</v>
      </c>
    </row>
    <row r="50" ht="14.25" customHeight="1">
      <c r="A50" s="17" t="s">
        <v>39</v>
      </c>
      <c r="B50" s="17" t="s">
        <v>17</v>
      </c>
      <c r="C50" s="16">
        <v>80.0</v>
      </c>
      <c r="D50" s="17"/>
      <c r="E50" s="25">
        <v>8.0</v>
      </c>
      <c r="F50" s="17"/>
      <c r="G50" s="17" t="s">
        <v>130</v>
      </c>
      <c r="H50" s="17">
        <v>49.0</v>
      </c>
      <c r="I50" s="17">
        <f t="array" ref="I50">XLOOKUP(TP!$A50,MACROZONAS!B:B,MACROZONAS!A:A)</f>
        <v>5</v>
      </c>
      <c r="J50" s="17">
        <f t="array" ref="J50">XLOOKUP(TP!$B50,SETORES!B:B,SETORES!A:A)</f>
        <v>5</v>
      </c>
    </row>
    <row r="51" ht="14.25" customHeight="1">
      <c r="A51" s="17" t="s">
        <v>29</v>
      </c>
      <c r="B51" s="17" t="s">
        <v>121</v>
      </c>
      <c r="C51" s="16">
        <v>80.0</v>
      </c>
      <c r="D51" s="17"/>
      <c r="E51" s="25">
        <v>8.0</v>
      </c>
      <c r="F51" s="17"/>
      <c r="G51" s="17" t="s">
        <v>130</v>
      </c>
      <c r="H51" s="17">
        <v>50.0</v>
      </c>
      <c r="I51" s="17">
        <f t="array" ref="I51">XLOOKUP(TP!$A51,MACROZONAS!B:B,MACROZONAS!A:A)</f>
        <v>6</v>
      </c>
      <c r="J51" s="17">
        <f t="array" ref="J51">XLOOKUP(TP!$B51,SETORES!B:B,SETORES!A:A)</f>
        <v>6</v>
      </c>
    </row>
    <row r="52" ht="14.25" customHeight="1">
      <c r="A52" s="17" t="s">
        <v>43</v>
      </c>
      <c r="B52" s="17" t="s">
        <v>121</v>
      </c>
      <c r="C52" s="16">
        <v>80.0</v>
      </c>
      <c r="D52" s="17"/>
      <c r="E52" s="25">
        <v>8.0</v>
      </c>
      <c r="F52" s="17"/>
      <c r="G52" s="17" t="s">
        <v>130</v>
      </c>
      <c r="H52" s="17">
        <v>51.0</v>
      </c>
      <c r="I52" s="17">
        <f t="array" ref="I52">XLOOKUP(TP!$A52,MACROZONAS!B:B,MACROZONAS!A:A)</f>
        <v>7</v>
      </c>
      <c r="J52" s="17">
        <f t="array" ref="J52">XLOOKUP(TP!$B52,SETORES!B:B,SETORES!A:A)</f>
        <v>6</v>
      </c>
    </row>
    <row r="53" ht="14.25" customHeight="1">
      <c r="A53" s="17" t="s">
        <v>42</v>
      </c>
      <c r="B53" s="17" t="s">
        <v>121</v>
      </c>
      <c r="C53" s="16">
        <v>20.0</v>
      </c>
      <c r="D53" s="17"/>
      <c r="E53" s="25">
        <v>8.0</v>
      </c>
      <c r="F53" s="17"/>
      <c r="G53" s="17" t="s">
        <v>130</v>
      </c>
      <c r="H53" s="17">
        <v>52.0</v>
      </c>
      <c r="I53" s="17">
        <f t="array" ref="I53">XLOOKUP(TP!$A53,MACROZONAS!B:B,MACROZONAS!A:A)</f>
        <v>3</v>
      </c>
      <c r="J53" s="17">
        <f t="array" ref="J53">XLOOKUP(TP!$B53,SETORES!B:B,SETORES!A:A)</f>
        <v>6</v>
      </c>
    </row>
    <row r="54" ht="14.25" customHeight="1">
      <c r="A54" s="17" t="s">
        <v>18</v>
      </c>
      <c r="B54" s="17" t="s">
        <v>121</v>
      </c>
      <c r="C54" s="16">
        <v>20.0</v>
      </c>
      <c r="D54" s="17"/>
      <c r="E54" s="25">
        <v>8.0</v>
      </c>
      <c r="F54" s="17"/>
      <c r="G54" s="17" t="s">
        <v>130</v>
      </c>
      <c r="H54" s="17">
        <v>53.0</v>
      </c>
      <c r="I54" s="17">
        <f t="array" ref="I54">XLOOKUP(TP!$A54,MACROZONAS!B:B,MACROZONAS!A:A)</f>
        <v>4</v>
      </c>
      <c r="J54" s="17">
        <f t="array" ref="J54">XLOOKUP(TP!$B54,SETORES!B:B,SETORES!A:A)</f>
        <v>6</v>
      </c>
    </row>
    <row r="55" ht="14.25" customHeight="1">
      <c r="A55" s="17" t="s">
        <v>33</v>
      </c>
      <c r="B55" s="17" t="s">
        <v>121</v>
      </c>
      <c r="C55" s="16">
        <v>20.0</v>
      </c>
      <c r="D55" s="17"/>
      <c r="E55" s="25">
        <v>8.0</v>
      </c>
      <c r="F55" s="17"/>
      <c r="G55" s="17" t="s">
        <v>130</v>
      </c>
      <c r="H55" s="17">
        <v>54.0</v>
      </c>
      <c r="I55" s="17">
        <f t="array" ref="I55">XLOOKUP(TP!$A55,MACROZONAS!B:B,MACROZONAS!A:A)</f>
        <v>1</v>
      </c>
      <c r="J55" s="17">
        <f t="array" ref="J55">XLOOKUP(TP!$B55,SETORES!B:B,SETORES!A:A)</f>
        <v>6</v>
      </c>
    </row>
    <row r="56" ht="14.25" customHeight="1">
      <c r="A56" s="17" t="s">
        <v>28</v>
      </c>
      <c r="B56" s="17" t="s">
        <v>121</v>
      </c>
      <c r="C56" s="16">
        <v>20.0</v>
      </c>
      <c r="D56" s="17"/>
      <c r="E56" s="25">
        <v>8.0</v>
      </c>
      <c r="F56" s="17"/>
      <c r="G56" s="17" t="s">
        <v>130</v>
      </c>
      <c r="H56" s="17">
        <v>55.0</v>
      </c>
      <c r="I56" s="17">
        <f t="array" ref="I56">XLOOKUP(TP!$A56,MACROZONAS!B:B,MACROZONAS!A:A)</f>
        <v>2</v>
      </c>
      <c r="J56" s="17">
        <f t="array" ref="J56">XLOOKUP(TP!$B56,SETORES!B:B,SETORES!A:A)</f>
        <v>6</v>
      </c>
    </row>
    <row r="57" ht="14.25" customHeight="1">
      <c r="A57" s="17" t="s">
        <v>39</v>
      </c>
      <c r="B57" s="17" t="s">
        <v>121</v>
      </c>
      <c r="C57" s="16">
        <v>80.0</v>
      </c>
      <c r="D57" s="17"/>
      <c r="E57" s="25">
        <v>8.0</v>
      </c>
      <c r="F57" s="17"/>
      <c r="G57" s="17" t="s">
        <v>130</v>
      </c>
      <c r="H57" s="17">
        <v>56.0</v>
      </c>
      <c r="I57" s="17">
        <f t="array" ref="I57">XLOOKUP(TP!$A57,MACROZONAS!B:B,MACROZONAS!A:A)</f>
        <v>5</v>
      </c>
      <c r="J57" s="17">
        <f t="array" ref="J57">XLOOKUP(TP!$B57,SETORES!B:B,SETORES!A:A)</f>
        <v>6</v>
      </c>
    </row>
    <row r="58" ht="14.25" customHeight="1">
      <c r="A58" s="17" t="s">
        <v>29</v>
      </c>
      <c r="B58" s="17" t="s">
        <v>37</v>
      </c>
      <c r="C58" s="16">
        <v>80.0</v>
      </c>
      <c r="D58" s="17"/>
      <c r="E58" s="25">
        <v>8.0</v>
      </c>
      <c r="F58" s="17"/>
      <c r="G58" s="17" t="s">
        <v>130</v>
      </c>
      <c r="H58" s="17">
        <v>57.0</v>
      </c>
      <c r="I58" s="17">
        <f t="array" ref="I58">XLOOKUP(TP!$A58,MACROZONAS!B:B,MACROZONAS!A:A)</f>
        <v>6</v>
      </c>
      <c r="J58" s="17">
        <f t="array" ref="J58">XLOOKUP(TP!$B58,SETORES!B:B,SETORES!A:A)</f>
        <v>7</v>
      </c>
    </row>
    <row r="59" ht="14.25" customHeight="1">
      <c r="A59" s="17" t="s">
        <v>43</v>
      </c>
      <c r="B59" s="17" t="s">
        <v>37</v>
      </c>
      <c r="C59" s="16">
        <v>80.0</v>
      </c>
      <c r="D59" s="17"/>
      <c r="E59" s="25">
        <v>8.0</v>
      </c>
      <c r="F59" s="17"/>
      <c r="G59" s="17" t="s">
        <v>130</v>
      </c>
      <c r="H59" s="17">
        <v>58.0</v>
      </c>
      <c r="I59" s="17">
        <f t="array" ref="I59">XLOOKUP(TP!$A59,MACROZONAS!B:B,MACROZONAS!A:A)</f>
        <v>7</v>
      </c>
      <c r="J59" s="17">
        <f t="array" ref="J59">XLOOKUP(TP!$B59,SETORES!B:B,SETORES!A:A)</f>
        <v>7</v>
      </c>
    </row>
    <row r="60" ht="14.25" customHeight="1">
      <c r="A60" s="17" t="s">
        <v>42</v>
      </c>
      <c r="B60" s="17" t="s">
        <v>37</v>
      </c>
      <c r="C60" s="16">
        <v>20.0</v>
      </c>
      <c r="D60" s="17"/>
      <c r="E60" s="25">
        <v>8.0</v>
      </c>
      <c r="F60" s="17"/>
      <c r="G60" s="17" t="s">
        <v>130</v>
      </c>
      <c r="H60" s="17">
        <v>59.0</v>
      </c>
      <c r="I60" s="17">
        <f t="array" ref="I60">XLOOKUP(TP!$A60,MACROZONAS!B:B,MACROZONAS!A:A)</f>
        <v>3</v>
      </c>
      <c r="J60" s="17">
        <f t="array" ref="J60">XLOOKUP(TP!$B60,SETORES!B:B,SETORES!A:A)</f>
        <v>7</v>
      </c>
    </row>
    <row r="61" ht="14.25" customHeight="1">
      <c r="A61" s="17" t="s">
        <v>18</v>
      </c>
      <c r="B61" s="17" t="s">
        <v>37</v>
      </c>
      <c r="C61" s="16">
        <v>20.0</v>
      </c>
      <c r="D61" s="17"/>
      <c r="E61" s="25">
        <v>8.0</v>
      </c>
      <c r="F61" s="17"/>
      <c r="G61" s="17" t="s">
        <v>130</v>
      </c>
      <c r="H61" s="17">
        <v>60.0</v>
      </c>
      <c r="I61" s="17">
        <f t="array" ref="I61">XLOOKUP(TP!$A61,MACROZONAS!B:B,MACROZONAS!A:A)</f>
        <v>4</v>
      </c>
      <c r="J61" s="17">
        <f t="array" ref="J61">XLOOKUP(TP!$B61,SETORES!B:B,SETORES!A:A)</f>
        <v>7</v>
      </c>
    </row>
    <row r="62" ht="14.25" customHeight="1">
      <c r="A62" s="17" t="s">
        <v>33</v>
      </c>
      <c r="B62" s="17" t="s">
        <v>37</v>
      </c>
      <c r="C62" s="16">
        <v>20.0</v>
      </c>
      <c r="D62" s="17"/>
      <c r="E62" s="25">
        <v>8.0</v>
      </c>
      <c r="F62" s="17"/>
      <c r="G62" s="17" t="s">
        <v>130</v>
      </c>
      <c r="H62" s="17">
        <v>61.0</v>
      </c>
      <c r="I62" s="17">
        <f t="array" ref="I62">XLOOKUP(TP!$A62,MACROZONAS!B:B,MACROZONAS!A:A)</f>
        <v>1</v>
      </c>
      <c r="J62" s="17">
        <f t="array" ref="J62">XLOOKUP(TP!$B62,SETORES!B:B,SETORES!A:A)</f>
        <v>7</v>
      </c>
    </row>
    <row r="63" ht="14.25" customHeight="1">
      <c r="A63" s="17" t="s">
        <v>28</v>
      </c>
      <c r="B63" s="17" t="s">
        <v>37</v>
      </c>
      <c r="C63" s="16">
        <v>20.0</v>
      </c>
      <c r="D63" s="17"/>
      <c r="E63" s="25">
        <v>8.0</v>
      </c>
      <c r="F63" s="17"/>
      <c r="G63" s="17" t="s">
        <v>130</v>
      </c>
      <c r="H63" s="17">
        <v>62.0</v>
      </c>
      <c r="I63" s="17">
        <f t="array" ref="I63">XLOOKUP(TP!$A63,MACROZONAS!B:B,MACROZONAS!A:A)</f>
        <v>2</v>
      </c>
      <c r="J63" s="17">
        <f t="array" ref="J63">XLOOKUP(TP!$B63,SETORES!B:B,SETORES!A:A)</f>
        <v>7</v>
      </c>
    </row>
    <row r="64" ht="14.25" customHeight="1">
      <c r="A64" s="17" t="s">
        <v>39</v>
      </c>
      <c r="B64" s="17" t="s">
        <v>37</v>
      </c>
      <c r="C64" s="16">
        <v>80.0</v>
      </c>
      <c r="D64" s="17"/>
      <c r="E64" s="25">
        <v>8.0</v>
      </c>
      <c r="F64" s="17"/>
      <c r="G64" s="17" t="s">
        <v>130</v>
      </c>
      <c r="H64" s="17">
        <v>63.0</v>
      </c>
      <c r="I64" s="17">
        <f t="array" ref="I64">XLOOKUP(TP!$A64,MACROZONAS!B:B,MACROZONAS!A:A)</f>
        <v>5</v>
      </c>
      <c r="J64" s="17">
        <f t="array" ref="J64">XLOOKUP(TP!$B64,SETORES!B:B,SETORES!A:A)</f>
        <v>7</v>
      </c>
    </row>
    <row r="65" ht="14.25" customHeight="1">
      <c r="A65" s="17" t="s">
        <v>29</v>
      </c>
      <c r="B65" s="17" t="s">
        <v>36</v>
      </c>
      <c r="C65" s="16">
        <v>80.0</v>
      </c>
      <c r="D65" s="17"/>
      <c r="E65" s="25">
        <v>8.0</v>
      </c>
      <c r="F65" s="17"/>
      <c r="G65" s="17" t="s">
        <v>130</v>
      </c>
      <c r="H65" s="17">
        <v>64.0</v>
      </c>
      <c r="I65" s="17">
        <f t="array" ref="I65">XLOOKUP(TP!$A65,MACROZONAS!B:B,MACROZONAS!A:A)</f>
        <v>6</v>
      </c>
      <c r="J65" s="17">
        <f t="array" ref="J65">XLOOKUP(TP!$B65,SETORES!B:B,SETORES!A:A)</f>
        <v>8</v>
      </c>
    </row>
    <row r="66" ht="14.25" customHeight="1">
      <c r="A66" s="17" t="s">
        <v>43</v>
      </c>
      <c r="B66" s="17" t="s">
        <v>36</v>
      </c>
      <c r="C66" s="16">
        <v>80.0</v>
      </c>
      <c r="D66" s="17"/>
      <c r="E66" s="25">
        <v>8.0</v>
      </c>
      <c r="F66" s="17"/>
      <c r="G66" s="17" t="s">
        <v>130</v>
      </c>
      <c r="H66" s="17">
        <v>65.0</v>
      </c>
      <c r="I66" s="17">
        <f t="array" ref="I66">XLOOKUP(TP!$A66,MACROZONAS!B:B,MACROZONAS!A:A)</f>
        <v>7</v>
      </c>
      <c r="J66" s="17">
        <f t="array" ref="J66">XLOOKUP(TP!$B66,SETORES!B:B,SETORES!A:A)</f>
        <v>8</v>
      </c>
    </row>
    <row r="67" ht="14.25" customHeight="1">
      <c r="A67" s="17" t="s">
        <v>42</v>
      </c>
      <c r="B67" s="17" t="s">
        <v>36</v>
      </c>
      <c r="C67" s="16">
        <v>20.0</v>
      </c>
      <c r="D67" s="17"/>
      <c r="E67" s="25">
        <v>8.0</v>
      </c>
      <c r="F67" s="17"/>
      <c r="G67" s="17" t="s">
        <v>130</v>
      </c>
      <c r="H67" s="17">
        <v>66.0</v>
      </c>
      <c r="I67" s="17">
        <f t="array" ref="I67">XLOOKUP(TP!$A67,MACROZONAS!B:B,MACROZONAS!A:A)</f>
        <v>3</v>
      </c>
      <c r="J67" s="17">
        <f t="array" ref="J67">XLOOKUP(TP!$B67,SETORES!B:B,SETORES!A:A)</f>
        <v>8</v>
      </c>
    </row>
    <row r="68" ht="14.25" customHeight="1">
      <c r="A68" s="17" t="s">
        <v>18</v>
      </c>
      <c r="B68" s="17" t="s">
        <v>36</v>
      </c>
      <c r="C68" s="16">
        <v>20.0</v>
      </c>
      <c r="D68" s="17"/>
      <c r="E68" s="25">
        <v>8.0</v>
      </c>
      <c r="F68" s="17"/>
      <c r="G68" s="17" t="s">
        <v>130</v>
      </c>
      <c r="H68" s="17">
        <v>67.0</v>
      </c>
      <c r="I68" s="17">
        <f t="array" ref="I68">XLOOKUP(TP!$A68,MACROZONAS!B:B,MACROZONAS!A:A)</f>
        <v>4</v>
      </c>
      <c r="J68" s="17">
        <f t="array" ref="J68">XLOOKUP(TP!$B68,SETORES!B:B,SETORES!A:A)</f>
        <v>8</v>
      </c>
    </row>
    <row r="69" ht="14.25" customHeight="1">
      <c r="A69" s="17" t="s">
        <v>33</v>
      </c>
      <c r="B69" s="17" t="s">
        <v>36</v>
      </c>
      <c r="C69" s="16">
        <v>20.0</v>
      </c>
      <c r="D69" s="17"/>
      <c r="E69" s="25">
        <v>8.0</v>
      </c>
      <c r="F69" s="17"/>
      <c r="G69" s="17" t="s">
        <v>130</v>
      </c>
      <c r="H69" s="17">
        <v>68.0</v>
      </c>
      <c r="I69" s="17">
        <f t="array" ref="I69">XLOOKUP(TP!$A69,MACROZONAS!B:B,MACROZONAS!A:A)</f>
        <v>1</v>
      </c>
      <c r="J69" s="17">
        <f t="array" ref="J69">XLOOKUP(TP!$B69,SETORES!B:B,SETORES!A:A)</f>
        <v>8</v>
      </c>
    </row>
    <row r="70" ht="14.25" customHeight="1">
      <c r="A70" s="17" t="s">
        <v>28</v>
      </c>
      <c r="B70" s="17" t="s">
        <v>36</v>
      </c>
      <c r="C70" s="16">
        <v>20.0</v>
      </c>
      <c r="D70" s="17"/>
      <c r="E70" s="25">
        <v>8.0</v>
      </c>
      <c r="F70" s="17"/>
      <c r="G70" s="17" t="s">
        <v>130</v>
      </c>
      <c r="H70" s="17">
        <v>69.0</v>
      </c>
      <c r="I70" s="17">
        <f t="array" ref="I70">XLOOKUP(TP!$A70,MACROZONAS!B:B,MACROZONAS!A:A)</f>
        <v>2</v>
      </c>
      <c r="J70" s="17">
        <f t="array" ref="J70">XLOOKUP(TP!$B70,SETORES!B:B,SETORES!A:A)</f>
        <v>8</v>
      </c>
    </row>
    <row r="71" ht="14.25" customHeight="1">
      <c r="A71" s="17" t="s">
        <v>39</v>
      </c>
      <c r="B71" s="17" t="s">
        <v>36</v>
      </c>
      <c r="C71" s="16">
        <v>80.0</v>
      </c>
      <c r="D71" s="17"/>
      <c r="E71" s="25">
        <v>8.0</v>
      </c>
      <c r="F71" s="17"/>
      <c r="G71" s="17" t="s">
        <v>130</v>
      </c>
      <c r="H71" s="17">
        <v>70.0</v>
      </c>
      <c r="I71" s="17">
        <f t="array" ref="I71">XLOOKUP(TP!$A71,MACROZONAS!B:B,MACROZONAS!A:A)</f>
        <v>5</v>
      </c>
      <c r="J71" s="17">
        <f t="array" ref="J71">XLOOKUP(TP!$B71,SETORES!B:B,SETORES!A:A)</f>
        <v>8</v>
      </c>
    </row>
    <row r="72" ht="14.25" customHeight="1">
      <c r="A72" s="17" t="s">
        <v>29</v>
      </c>
      <c r="B72" s="17" t="s">
        <v>15</v>
      </c>
      <c r="C72" s="16">
        <v>80.0</v>
      </c>
      <c r="D72" s="17"/>
      <c r="E72" s="25">
        <v>8.0</v>
      </c>
      <c r="F72" s="17"/>
      <c r="G72" s="17" t="s">
        <v>130</v>
      </c>
      <c r="H72" s="17">
        <v>71.0</v>
      </c>
      <c r="I72" s="17">
        <f t="array" ref="I72">XLOOKUP(TP!$A72,MACROZONAS!B:B,MACROZONAS!A:A)</f>
        <v>6</v>
      </c>
      <c r="J72" s="17">
        <f t="array" ref="J72">XLOOKUP(TP!$B72,SETORES!B:B,SETORES!A:A)</f>
        <v>9</v>
      </c>
    </row>
    <row r="73" ht="14.25" customHeight="1">
      <c r="A73" s="17" t="s">
        <v>43</v>
      </c>
      <c r="B73" s="17" t="s">
        <v>15</v>
      </c>
      <c r="C73" s="16">
        <v>80.0</v>
      </c>
      <c r="D73" s="17"/>
      <c r="E73" s="25">
        <v>8.0</v>
      </c>
      <c r="F73" s="17"/>
      <c r="G73" s="17" t="s">
        <v>130</v>
      </c>
      <c r="H73" s="17">
        <v>72.0</v>
      </c>
      <c r="I73" s="17">
        <f t="array" ref="I73">XLOOKUP(TP!$A73,MACROZONAS!B:B,MACROZONAS!A:A)</f>
        <v>7</v>
      </c>
      <c r="J73" s="17">
        <f t="array" ref="J73">XLOOKUP(TP!$B73,SETORES!B:B,SETORES!A:A)</f>
        <v>9</v>
      </c>
    </row>
    <row r="74" ht="14.25" customHeight="1">
      <c r="A74" s="17" t="s">
        <v>42</v>
      </c>
      <c r="B74" s="17" t="s">
        <v>15</v>
      </c>
      <c r="C74" s="16">
        <v>20.0</v>
      </c>
      <c r="D74" s="17"/>
      <c r="E74" s="25">
        <v>8.0</v>
      </c>
      <c r="F74" s="17"/>
      <c r="G74" s="17" t="s">
        <v>130</v>
      </c>
      <c r="H74" s="17">
        <v>73.0</v>
      </c>
      <c r="I74" s="17">
        <f t="array" ref="I74">XLOOKUP(TP!$A74,MACROZONAS!B:B,MACROZONAS!A:A)</f>
        <v>3</v>
      </c>
      <c r="J74" s="17">
        <f t="array" ref="J74">XLOOKUP(TP!$B74,SETORES!B:B,SETORES!A:A)</f>
        <v>9</v>
      </c>
    </row>
    <row r="75" ht="14.25" customHeight="1">
      <c r="A75" s="17" t="s">
        <v>18</v>
      </c>
      <c r="B75" s="17" t="s">
        <v>15</v>
      </c>
      <c r="C75" s="16">
        <v>20.0</v>
      </c>
      <c r="D75" s="17"/>
      <c r="E75" s="25">
        <v>8.0</v>
      </c>
      <c r="F75" s="17"/>
      <c r="G75" s="17" t="s">
        <v>130</v>
      </c>
      <c r="H75" s="17">
        <v>74.0</v>
      </c>
      <c r="I75" s="17">
        <f t="array" ref="I75">XLOOKUP(TP!$A75,MACROZONAS!B:B,MACROZONAS!A:A)</f>
        <v>4</v>
      </c>
      <c r="J75" s="17">
        <f t="array" ref="J75">XLOOKUP(TP!$B75,SETORES!B:B,SETORES!A:A)</f>
        <v>9</v>
      </c>
    </row>
    <row r="76" ht="14.25" customHeight="1">
      <c r="A76" s="17" t="s">
        <v>33</v>
      </c>
      <c r="B76" s="17" t="s">
        <v>15</v>
      </c>
      <c r="C76" s="16">
        <v>20.0</v>
      </c>
      <c r="D76" s="17"/>
      <c r="E76" s="25">
        <v>8.0</v>
      </c>
      <c r="F76" s="17"/>
      <c r="G76" s="17" t="s">
        <v>130</v>
      </c>
      <c r="H76" s="17">
        <v>75.0</v>
      </c>
      <c r="I76" s="17">
        <f t="array" ref="I76">XLOOKUP(TP!$A76,MACROZONAS!B:B,MACROZONAS!A:A)</f>
        <v>1</v>
      </c>
      <c r="J76" s="17">
        <f t="array" ref="J76">XLOOKUP(TP!$B76,SETORES!B:B,SETORES!A:A)</f>
        <v>9</v>
      </c>
    </row>
    <row r="77" ht="14.25" customHeight="1">
      <c r="A77" s="17" t="s">
        <v>28</v>
      </c>
      <c r="B77" s="17" t="s">
        <v>15</v>
      </c>
      <c r="C77" s="16">
        <v>20.0</v>
      </c>
      <c r="D77" s="17"/>
      <c r="E77" s="25">
        <v>8.0</v>
      </c>
      <c r="F77" s="17"/>
      <c r="G77" s="17" t="s">
        <v>130</v>
      </c>
      <c r="H77" s="17">
        <v>76.0</v>
      </c>
      <c r="I77" s="17">
        <f t="array" ref="I77">XLOOKUP(TP!$A77,MACROZONAS!B:B,MACROZONAS!A:A)</f>
        <v>2</v>
      </c>
      <c r="J77" s="17">
        <f t="array" ref="J77">XLOOKUP(TP!$B77,SETORES!B:B,SETORES!A:A)</f>
        <v>9</v>
      </c>
    </row>
    <row r="78" ht="14.25" customHeight="1">
      <c r="A78" s="17" t="s">
        <v>39</v>
      </c>
      <c r="B78" s="17" t="s">
        <v>15</v>
      </c>
      <c r="C78" s="16">
        <v>80.0</v>
      </c>
      <c r="D78" s="17"/>
      <c r="E78" s="25">
        <v>8.0</v>
      </c>
      <c r="F78" s="17"/>
      <c r="G78" s="17" t="s">
        <v>130</v>
      </c>
      <c r="H78" s="17">
        <v>77.0</v>
      </c>
      <c r="I78" s="17">
        <f t="array" ref="I78">XLOOKUP(TP!$A78,MACROZONAS!B:B,MACROZONAS!A:A)</f>
        <v>5</v>
      </c>
      <c r="J78" s="17">
        <f t="array" ref="J78">XLOOKUP(TP!$B78,SETORES!B:B,SETORES!A:A)</f>
        <v>9</v>
      </c>
    </row>
    <row r="79" ht="14.25" customHeight="1">
      <c r="A79" s="17" t="s">
        <v>29</v>
      </c>
      <c r="B79" s="17" t="s">
        <v>38</v>
      </c>
      <c r="C79" s="16">
        <v>80.0</v>
      </c>
      <c r="D79" s="17"/>
      <c r="E79" s="25">
        <v>8.0</v>
      </c>
      <c r="F79" s="17"/>
      <c r="G79" s="17" t="s">
        <v>130</v>
      </c>
      <c r="H79" s="17">
        <v>78.0</v>
      </c>
      <c r="I79" s="17">
        <f t="array" ref="I79">XLOOKUP(TP!$A79,MACROZONAS!B:B,MACROZONAS!A:A)</f>
        <v>6</v>
      </c>
      <c r="J79" s="17">
        <f t="array" ref="J79">XLOOKUP(TP!$B79,SETORES!B:B,SETORES!A:A)</f>
        <v>10</v>
      </c>
    </row>
    <row r="80" ht="14.25" customHeight="1">
      <c r="A80" s="17" t="s">
        <v>43</v>
      </c>
      <c r="B80" s="17" t="s">
        <v>38</v>
      </c>
      <c r="C80" s="16">
        <v>80.0</v>
      </c>
      <c r="D80" s="17"/>
      <c r="E80" s="25">
        <v>8.0</v>
      </c>
      <c r="F80" s="17"/>
      <c r="G80" s="17" t="s">
        <v>130</v>
      </c>
      <c r="H80" s="17">
        <v>79.0</v>
      </c>
      <c r="I80" s="17">
        <f t="array" ref="I80">XLOOKUP(TP!$A80,MACROZONAS!B:B,MACROZONAS!A:A)</f>
        <v>7</v>
      </c>
      <c r="J80" s="17">
        <f t="array" ref="J80">XLOOKUP(TP!$B80,SETORES!B:B,SETORES!A:A)</f>
        <v>10</v>
      </c>
    </row>
    <row r="81" ht="14.25" customHeight="1">
      <c r="A81" s="17" t="s">
        <v>42</v>
      </c>
      <c r="B81" s="17" t="s">
        <v>38</v>
      </c>
      <c r="C81" s="16">
        <v>20.0</v>
      </c>
      <c r="D81" s="17"/>
      <c r="E81" s="25">
        <v>8.0</v>
      </c>
      <c r="F81" s="17"/>
      <c r="G81" s="17" t="s">
        <v>130</v>
      </c>
      <c r="H81" s="17">
        <v>80.0</v>
      </c>
      <c r="I81" s="17">
        <f t="array" ref="I81">XLOOKUP(TP!$A81,MACROZONAS!B:B,MACROZONAS!A:A)</f>
        <v>3</v>
      </c>
      <c r="J81" s="17">
        <f t="array" ref="J81">XLOOKUP(TP!$B81,SETORES!B:B,SETORES!A:A)</f>
        <v>10</v>
      </c>
    </row>
    <row r="82" ht="14.25" customHeight="1">
      <c r="A82" s="17" t="s">
        <v>18</v>
      </c>
      <c r="B82" s="17" t="s">
        <v>38</v>
      </c>
      <c r="C82" s="16">
        <v>20.0</v>
      </c>
      <c r="D82" s="17"/>
      <c r="E82" s="25">
        <v>8.0</v>
      </c>
      <c r="F82" s="17"/>
      <c r="G82" s="17" t="s">
        <v>130</v>
      </c>
      <c r="H82" s="17">
        <v>81.0</v>
      </c>
      <c r="I82" s="17">
        <f t="array" ref="I82">XLOOKUP(TP!$A82,MACROZONAS!B:B,MACROZONAS!A:A)</f>
        <v>4</v>
      </c>
      <c r="J82" s="17">
        <f t="array" ref="J82">XLOOKUP(TP!$B82,SETORES!B:B,SETORES!A:A)</f>
        <v>10</v>
      </c>
    </row>
    <row r="83" ht="14.25" customHeight="1">
      <c r="A83" s="17" t="s">
        <v>33</v>
      </c>
      <c r="B83" s="17" t="s">
        <v>38</v>
      </c>
      <c r="C83" s="16">
        <v>20.0</v>
      </c>
      <c r="D83" s="17"/>
      <c r="E83" s="25">
        <v>8.0</v>
      </c>
      <c r="F83" s="17"/>
      <c r="G83" s="17" t="s">
        <v>130</v>
      </c>
      <c r="H83" s="17">
        <v>82.0</v>
      </c>
      <c r="I83" s="17">
        <f t="array" ref="I83">XLOOKUP(TP!$A83,MACROZONAS!B:B,MACROZONAS!A:A)</f>
        <v>1</v>
      </c>
      <c r="J83" s="17">
        <f t="array" ref="J83">XLOOKUP(TP!$B83,SETORES!B:B,SETORES!A:A)</f>
        <v>10</v>
      </c>
    </row>
    <row r="84" ht="14.25" customHeight="1">
      <c r="A84" s="17" t="s">
        <v>28</v>
      </c>
      <c r="B84" s="17" t="s">
        <v>38</v>
      </c>
      <c r="C84" s="16">
        <v>20.0</v>
      </c>
      <c r="D84" s="17"/>
      <c r="E84" s="25">
        <v>8.0</v>
      </c>
      <c r="F84" s="17"/>
      <c r="G84" s="17" t="s">
        <v>130</v>
      </c>
      <c r="H84" s="17">
        <v>83.0</v>
      </c>
      <c r="I84" s="17">
        <f t="array" ref="I84">XLOOKUP(TP!$A84,MACROZONAS!B:B,MACROZONAS!A:A)</f>
        <v>2</v>
      </c>
      <c r="J84" s="17">
        <f t="array" ref="J84">XLOOKUP(TP!$B84,SETORES!B:B,SETORES!A:A)</f>
        <v>10</v>
      </c>
    </row>
    <row r="85" ht="14.25" customHeight="1">
      <c r="A85" s="17" t="s">
        <v>39</v>
      </c>
      <c r="B85" s="17" t="s">
        <v>38</v>
      </c>
      <c r="C85" s="16">
        <v>80.0</v>
      </c>
      <c r="D85" s="17"/>
      <c r="E85" s="25">
        <v>8.0</v>
      </c>
      <c r="F85" s="17"/>
      <c r="G85" s="17" t="s">
        <v>130</v>
      </c>
      <c r="H85" s="17">
        <v>84.0</v>
      </c>
      <c r="I85" s="17">
        <f t="array" ref="I85">XLOOKUP(TP!$A85,MACROZONAS!B:B,MACROZONAS!A:A)</f>
        <v>5</v>
      </c>
      <c r="J85" s="17">
        <f t="array" ref="J85">XLOOKUP(TP!$B85,SETORES!B:B,SETORES!A:A)</f>
        <v>10</v>
      </c>
    </row>
    <row r="86" ht="14.25" customHeight="1">
      <c r="A86" s="17" t="s">
        <v>29</v>
      </c>
      <c r="B86" s="17" t="s">
        <v>40</v>
      </c>
      <c r="C86" s="16">
        <v>80.0</v>
      </c>
      <c r="D86" s="17"/>
      <c r="E86" s="25">
        <v>8.0</v>
      </c>
      <c r="F86" s="17"/>
      <c r="G86" s="17" t="s">
        <v>130</v>
      </c>
      <c r="H86" s="17">
        <v>85.0</v>
      </c>
      <c r="I86" s="17">
        <f t="array" ref="I86">XLOOKUP(TP!$A86,MACROZONAS!B:B,MACROZONAS!A:A)</f>
        <v>6</v>
      </c>
      <c r="J86" s="17">
        <f t="array" ref="J86">XLOOKUP(TP!$B86,SETORES!B:B,SETORES!A:A)</f>
        <v>11</v>
      </c>
    </row>
    <row r="87" ht="14.25" customHeight="1">
      <c r="A87" s="17" t="s">
        <v>43</v>
      </c>
      <c r="B87" s="17" t="s">
        <v>40</v>
      </c>
      <c r="C87" s="16">
        <v>80.0</v>
      </c>
      <c r="D87" s="17"/>
      <c r="E87" s="25">
        <v>8.0</v>
      </c>
      <c r="F87" s="17"/>
      <c r="G87" s="17" t="s">
        <v>130</v>
      </c>
      <c r="H87" s="17">
        <v>86.0</v>
      </c>
      <c r="I87" s="17">
        <f t="array" ref="I87">XLOOKUP(TP!$A87,MACROZONAS!B:B,MACROZONAS!A:A)</f>
        <v>7</v>
      </c>
      <c r="J87" s="17">
        <f t="array" ref="J87">XLOOKUP(TP!$B87,SETORES!B:B,SETORES!A:A)</f>
        <v>11</v>
      </c>
    </row>
    <row r="88" ht="14.25" customHeight="1">
      <c r="A88" s="17" t="s">
        <v>42</v>
      </c>
      <c r="B88" s="17" t="s">
        <v>40</v>
      </c>
      <c r="C88" s="16">
        <v>20.0</v>
      </c>
      <c r="D88" s="17"/>
      <c r="E88" s="25">
        <v>8.0</v>
      </c>
      <c r="F88" s="17"/>
      <c r="G88" s="17" t="s">
        <v>130</v>
      </c>
      <c r="H88" s="17">
        <v>87.0</v>
      </c>
      <c r="I88" s="17">
        <f t="array" ref="I88">XLOOKUP(TP!$A88,MACROZONAS!B:B,MACROZONAS!A:A)</f>
        <v>3</v>
      </c>
      <c r="J88" s="17">
        <f t="array" ref="J88">XLOOKUP(TP!$B88,SETORES!B:B,SETORES!A:A)</f>
        <v>11</v>
      </c>
    </row>
    <row r="89" ht="14.25" customHeight="1">
      <c r="A89" s="17" t="s">
        <v>18</v>
      </c>
      <c r="B89" s="17" t="s">
        <v>40</v>
      </c>
      <c r="C89" s="16">
        <v>20.0</v>
      </c>
      <c r="D89" s="17"/>
      <c r="E89" s="25">
        <v>8.0</v>
      </c>
      <c r="F89" s="17"/>
      <c r="G89" s="17" t="s">
        <v>130</v>
      </c>
      <c r="H89" s="17">
        <v>88.0</v>
      </c>
      <c r="I89" s="17">
        <f t="array" ref="I89">XLOOKUP(TP!$A89,MACROZONAS!B:B,MACROZONAS!A:A)</f>
        <v>4</v>
      </c>
      <c r="J89" s="17">
        <f t="array" ref="J89">XLOOKUP(TP!$B89,SETORES!B:B,SETORES!A:A)</f>
        <v>11</v>
      </c>
    </row>
    <row r="90" ht="14.25" customHeight="1">
      <c r="A90" s="17" t="s">
        <v>33</v>
      </c>
      <c r="B90" s="17" t="s">
        <v>40</v>
      </c>
      <c r="C90" s="16">
        <v>20.0</v>
      </c>
      <c r="D90" s="17"/>
      <c r="E90" s="25">
        <v>8.0</v>
      </c>
      <c r="F90" s="17"/>
      <c r="G90" s="17" t="s">
        <v>130</v>
      </c>
      <c r="H90" s="17">
        <v>89.0</v>
      </c>
      <c r="I90" s="17">
        <f t="array" ref="I90">XLOOKUP(TP!$A90,MACROZONAS!B:B,MACROZONAS!A:A)</f>
        <v>1</v>
      </c>
      <c r="J90" s="17">
        <f t="array" ref="J90">XLOOKUP(TP!$B90,SETORES!B:B,SETORES!A:A)</f>
        <v>11</v>
      </c>
    </row>
    <row r="91" ht="14.25" customHeight="1">
      <c r="A91" s="17" t="s">
        <v>28</v>
      </c>
      <c r="B91" s="17" t="s">
        <v>40</v>
      </c>
      <c r="C91" s="16">
        <v>20.0</v>
      </c>
      <c r="D91" s="17"/>
      <c r="E91" s="25">
        <v>8.0</v>
      </c>
      <c r="F91" s="17"/>
      <c r="G91" s="17" t="s">
        <v>130</v>
      </c>
      <c r="H91" s="17">
        <v>90.0</v>
      </c>
      <c r="I91" s="17">
        <f t="array" ref="I91">XLOOKUP(TP!$A91,MACROZONAS!B:B,MACROZONAS!A:A)</f>
        <v>2</v>
      </c>
      <c r="J91" s="17">
        <f t="array" ref="J91">XLOOKUP(TP!$B91,SETORES!B:B,SETORES!A:A)</f>
        <v>11</v>
      </c>
    </row>
    <row r="92" ht="14.25" customHeight="1">
      <c r="A92" s="17" t="s">
        <v>39</v>
      </c>
      <c r="B92" s="17" t="s">
        <v>40</v>
      </c>
      <c r="C92" s="16">
        <v>80.0</v>
      </c>
      <c r="D92" s="17"/>
      <c r="E92" s="25">
        <v>8.0</v>
      </c>
      <c r="F92" s="17"/>
      <c r="G92" s="17" t="s">
        <v>130</v>
      </c>
      <c r="H92" s="17">
        <v>91.0</v>
      </c>
      <c r="I92" s="17">
        <f t="array" ref="I92">XLOOKUP(TP!$A92,MACROZONAS!B:B,MACROZONAS!A:A)</f>
        <v>5</v>
      </c>
      <c r="J92" s="17">
        <f t="array" ref="J92">XLOOKUP(TP!$B92,SETORES!B:B,SETORES!A:A)</f>
        <v>11</v>
      </c>
    </row>
    <row r="93" ht="14.25" customHeight="1">
      <c r="A93" s="17" t="s">
        <v>29</v>
      </c>
      <c r="B93" s="17" t="s">
        <v>20</v>
      </c>
      <c r="C93" s="16">
        <v>80.0</v>
      </c>
      <c r="D93" s="17"/>
      <c r="E93" s="25">
        <v>8.0</v>
      </c>
      <c r="F93" s="17"/>
      <c r="G93" s="17" t="s">
        <v>130</v>
      </c>
      <c r="H93" s="17">
        <v>92.0</v>
      </c>
      <c r="I93" s="17">
        <f t="array" ref="I93">XLOOKUP(TP!$A93,MACROZONAS!B:B,MACROZONAS!A:A)</f>
        <v>6</v>
      </c>
      <c r="J93" s="17">
        <f t="array" ref="J93">XLOOKUP(TP!$B93,SETORES!B:B,SETORES!A:A)</f>
        <v>12</v>
      </c>
    </row>
    <row r="94" ht="14.25" customHeight="1">
      <c r="A94" s="17" t="s">
        <v>43</v>
      </c>
      <c r="B94" s="17" t="s">
        <v>20</v>
      </c>
      <c r="C94" s="16">
        <v>80.0</v>
      </c>
      <c r="D94" s="17"/>
      <c r="E94" s="25">
        <v>8.0</v>
      </c>
      <c r="F94" s="17"/>
      <c r="G94" s="17" t="s">
        <v>130</v>
      </c>
      <c r="H94" s="17">
        <v>93.0</v>
      </c>
      <c r="I94" s="17">
        <f t="array" ref="I94">XLOOKUP(TP!$A94,MACROZONAS!B:B,MACROZONAS!A:A)</f>
        <v>7</v>
      </c>
      <c r="J94" s="17">
        <f t="array" ref="J94">XLOOKUP(TP!$B94,SETORES!B:B,SETORES!A:A)</f>
        <v>12</v>
      </c>
    </row>
    <row r="95" ht="14.25" customHeight="1">
      <c r="A95" s="17" t="s">
        <v>42</v>
      </c>
      <c r="B95" s="17" t="s">
        <v>20</v>
      </c>
      <c r="C95" s="16">
        <v>20.0</v>
      </c>
      <c r="D95" s="17"/>
      <c r="E95" s="25">
        <v>8.0</v>
      </c>
      <c r="F95" s="17"/>
      <c r="G95" s="17" t="s">
        <v>130</v>
      </c>
      <c r="H95" s="17">
        <v>94.0</v>
      </c>
      <c r="I95" s="17">
        <f t="array" ref="I95">XLOOKUP(TP!$A95,MACROZONAS!B:B,MACROZONAS!A:A)</f>
        <v>3</v>
      </c>
      <c r="J95" s="17">
        <f t="array" ref="J95">XLOOKUP(TP!$B95,SETORES!B:B,SETORES!A:A)</f>
        <v>12</v>
      </c>
    </row>
    <row r="96" ht="14.25" customHeight="1">
      <c r="A96" s="17" t="s">
        <v>18</v>
      </c>
      <c r="B96" s="17" t="s">
        <v>20</v>
      </c>
      <c r="C96" s="16">
        <v>20.0</v>
      </c>
      <c r="D96" s="17"/>
      <c r="E96" s="25">
        <v>8.0</v>
      </c>
      <c r="F96" s="17"/>
      <c r="G96" s="17" t="s">
        <v>130</v>
      </c>
      <c r="H96" s="17">
        <v>95.0</v>
      </c>
      <c r="I96" s="17">
        <f t="array" ref="I96">XLOOKUP(TP!$A96,MACROZONAS!B:B,MACROZONAS!A:A)</f>
        <v>4</v>
      </c>
      <c r="J96" s="17">
        <f t="array" ref="J96">XLOOKUP(TP!$B96,SETORES!B:B,SETORES!A:A)</f>
        <v>12</v>
      </c>
    </row>
    <row r="97" ht="14.25" customHeight="1">
      <c r="A97" s="17" t="s">
        <v>33</v>
      </c>
      <c r="B97" s="17" t="s">
        <v>20</v>
      </c>
      <c r="C97" s="16">
        <v>20.0</v>
      </c>
      <c r="D97" s="17"/>
      <c r="E97" s="25">
        <v>8.0</v>
      </c>
      <c r="F97" s="17"/>
      <c r="G97" s="17" t="s">
        <v>130</v>
      </c>
      <c r="H97" s="17">
        <v>96.0</v>
      </c>
      <c r="I97" s="17">
        <f t="array" ref="I97">XLOOKUP(TP!$A97,MACROZONAS!B:B,MACROZONAS!A:A)</f>
        <v>1</v>
      </c>
      <c r="J97" s="17">
        <f t="array" ref="J97">XLOOKUP(TP!$B97,SETORES!B:B,SETORES!A:A)</f>
        <v>12</v>
      </c>
    </row>
    <row r="98" ht="14.25" customHeight="1">
      <c r="A98" s="17" t="s">
        <v>28</v>
      </c>
      <c r="B98" s="17" t="s">
        <v>20</v>
      </c>
      <c r="C98" s="16">
        <v>20.0</v>
      </c>
      <c r="D98" s="17"/>
      <c r="E98" s="25">
        <v>8.0</v>
      </c>
      <c r="F98" s="17"/>
      <c r="G98" s="17" t="s">
        <v>130</v>
      </c>
      <c r="H98" s="17">
        <v>97.0</v>
      </c>
      <c r="I98" s="17">
        <f t="array" ref="I98">XLOOKUP(TP!$A98,MACROZONAS!B:B,MACROZONAS!A:A)</f>
        <v>2</v>
      </c>
      <c r="J98" s="17">
        <f t="array" ref="J98">XLOOKUP(TP!$B98,SETORES!B:B,SETORES!A:A)</f>
        <v>12</v>
      </c>
    </row>
    <row r="99" ht="14.25" customHeight="1">
      <c r="A99" s="17" t="s">
        <v>39</v>
      </c>
      <c r="B99" s="17" t="s">
        <v>20</v>
      </c>
      <c r="C99" s="16">
        <v>80.0</v>
      </c>
      <c r="D99" s="17"/>
      <c r="E99" s="25">
        <v>8.0</v>
      </c>
      <c r="F99" s="17"/>
      <c r="G99" s="17" t="s">
        <v>130</v>
      </c>
      <c r="H99" s="17">
        <v>98.0</v>
      </c>
      <c r="I99" s="17">
        <f t="array" ref="I99">XLOOKUP(TP!$A99,MACROZONAS!B:B,MACROZONAS!A:A)</f>
        <v>5</v>
      </c>
      <c r="J99" s="17">
        <f t="array" ref="J99">XLOOKUP(TP!$B99,SETORES!B:B,SETORES!A:A)</f>
        <v>12</v>
      </c>
    </row>
    <row r="100" ht="14.25" customHeight="1">
      <c r="A100" s="17" t="s">
        <v>29</v>
      </c>
      <c r="B100" s="17" t="s">
        <v>27</v>
      </c>
      <c r="C100" s="16">
        <v>80.0</v>
      </c>
      <c r="D100" s="17"/>
      <c r="E100" s="25">
        <v>8.0</v>
      </c>
      <c r="F100" s="17"/>
      <c r="G100" s="17" t="s">
        <v>130</v>
      </c>
      <c r="H100" s="17">
        <v>99.0</v>
      </c>
      <c r="I100" s="17">
        <f t="array" ref="I100">XLOOKUP(TP!$A100,MACROZONAS!B:B,MACROZONAS!A:A)</f>
        <v>6</v>
      </c>
      <c r="J100" s="17">
        <f t="array" ref="J100">XLOOKUP(TP!$B100,SETORES!B:B,SETORES!A:A)</f>
        <v>13</v>
      </c>
    </row>
    <row r="101" ht="14.25" customHeight="1">
      <c r="A101" s="17" t="s">
        <v>43</v>
      </c>
      <c r="B101" s="17" t="s">
        <v>27</v>
      </c>
      <c r="C101" s="16">
        <v>80.0</v>
      </c>
      <c r="D101" s="17"/>
      <c r="E101" s="25">
        <v>8.0</v>
      </c>
      <c r="F101" s="17"/>
      <c r="G101" s="17" t="s">
        <v>130</v>
      </c>
      <c r="H101" s="17">
        <v>100.0</v>
      </c>
      <c r="I101" s="17">
        <f t="array" ref="I101">XLOOKUP(TP!$A101,MACROZONAS!B:B,MACROZONAS!A:A)</f>
        <v>7</v>
      </c>
      <c r="J101" s="17">
        <f t="array" ref="J101">XLOOKUP(TP!$B101,SETORES!B:B,SETORES!A:A)</f>
        <v>13</v>
      </c>
    </row>
    <row r="102" ht="14.25" customHeight="1">
      <c r="A102" s="17" t="s">
        <v>42</v>
      </c>
      <c r="B102" s="17" t="s">
        <v>27</v>
      </c>
      <c r="C102" s="16">
        <v>20.0</v>
      </c>
      <c r="D102" s="17"/>
      <c r="E102" s="25">
        <v>8.0</v>
      </c>
      <c r="F102" s="17"/>
      <c r="G102" s="17" t="s">
        <v>130</v>
      </c>
      <c r="H102" s="17">
        <v>101.0</v>
      </c>
      <c r="I102" s="17">
        <f t="array" ref="I102">XLOOKUP(TP!$A102,MACROZONAS!B:B,MACROZONAS!A:A)</f>
        <v>3</v>
      </c>
      <c r="J102" s="17">
        <f t="array" ref="J102">XLOOKUP(TP!$B102,SETORES!B:B,SETORES!A:A)</f>
        <v>13</v>
      </c>
    </row>
    <row r="103" ht="14.25" customHeight="1">
      <c r="A103" s="17" t="s">
        <v>18</v>
      </c>
      <c r="B103" s="17" t="s">
        <v>27</v>
      </c>
      <c r="C103" s="16">
        <v>20.0</v>
      </c>
      <c r="D103" s="17"/>
      <c r="E103" s="25">
        <v>8.0</v>
      </c>
      <c r="F103" s="17"/>
      <c r="G103" s="17" t="s">
        <v>130</v>
      </c>
      <c r="H103" s="17">
        <v>102.0</v>
      </c>
      <c r="I103" s="17">
        <f t="array" ref="I103">XLOOKUP(TP!$A103,MACROZONAS!B:B,MACROZONAS!A:A)</f>
        <v>4</v>
      </c>
      <c r="J103" s="17">
        <f t="array" ref="J103">XLOOKUP(TP!$B103,SETORES!B:B,SETORES!A:A)</f>
        <v>13</v>
      </c>
    </row>
    <row r="104" ht="14.25" customHeight="1">
      <c r="A104" s="17" t="s">
        <v>33</v>
      </c>
      <c r="B104" s="17" t="s">
        <v>27</v>
      </c>
      <c r="C104" s="16">
        <v>20.0</v>
      </c>
      <c r="D104" s="17"/>
      <c r="E104" s="25">
        <v>8.0</v>
      </c>
      <c r="F104" s="17"/>
      <c r="G104" s="17" t="s">
        <v>130</v>
      </c>
      <c r="H104" s="17">
        <v>103.0</v>
      </c>
      <c r="I104" s="17">
        <f t="array" ref="I104">XLOOKUP(TP!$A104,MACROZONAS!B:B,MACROZONAS!A:A)</f>
        <v>1</v>
      </c>
      <c r="J104" s="17">
        <f t="array" ref="J104">XLOOKUP(TP!$B104,SETORES!B:B,SETORES!A:A)</f>
        <v>13</v>
      </c>
    </row>
    <row r="105" ht="14.25" customHeight="1">
      <c r="A105" s="17" t="s">
        <v>28</v>
      </c>
      <c r="B105" s="17" t="s">
        <v>27</v>
      </c>
      <c r="C105" s="16">
        <v>20.0</v>
      </c>
      <c r="D105" s="17"/>
      <c r="E105" s="25">
        <v>8.0</v>
      </c>
      <c r="F105" s="17"/>
      <c r="G105" s="17" t="s">
        <v>130</v>
      </c>
      <c r="H105" s="17">
        <v>104.0</v>
      </c>
      <c r="I105" s="17">
        <f t="array" ref="I105">XLOOKUP(TP!$A105,MACROZONAS!B:B,MACROZONAS!A:A)</f>
        <v>2</v>
      </c>
      <c r="J105" s="17">
        <f t="array" ref="J105">XLOOKUP(TP!$B105,SETORES!B:B,SETORES!A:A)</f>
        <v>13</v>
      </c>
    </row>
    <row r="106" ht="14.25" customHeight="1">
      <c r="A106" s="17" t="s">
        <v>39</v>
      </c>
      <c r="B106" s="17" t="s">
        <v>27</v>
      </c>
      <c r="C106" s="16">
        <v>80.0</v>
      </c>
      <c r="D106" s="17"/>
      <c r="E106" s="25">
        <v>8.0</v>
      </c>
      <c r="F106" s="17"/>
      <c r="G106" s="17" t="s">
        <v>130</v>
      </c>
      <c r="H106" s="17">
        <v>105.0</v>
      </c>
      <c r="I106" s="17">
        <f t="array" ref="I106">XLOOKUP(TP!$A106,MACROZONAS!B:B,MACROZONAS!A:A)</f>
        <v>5</v>
      </c>
      <c r="J106" s="17">
        <f t="array" ref="J106">XLOOKUP(TP!$B106,SETORES!B:B,SETORES!A:A)</f>
        <v>13</v>
      </c>
    </row>
    <row r="107" ht="14.25" customHeight="1">
      <c r="A107" s="17" t="s">
        <v>29</v>
      </c>
      <c r="B107" s="17" t="s">
        <v>24</v>
      </c>
      <c r="C107" s="16">
        <v>80.0</v>
      </c>
      <c r="D107" s="17"/>
      <c r="E107" s="25">
        <v>8.0</v>
      </c>
      <c r="F107" s="17"/>
      <c r="G107" s="17" t="s">
        <v>130</v>
      </c>
      <c r="H107" s="17">
        <v>106.0</v>
      </c>
      <c r="I107" s="17">
        <f t="array" ref="I107">XLOOKUP(TP!$A107,MACROZONAS!B:B,MACROZONAS!A:A)</f>
        <v>6</v>
      </c>
      <c r="J107" s="17">
        <f t="array" ref="J107">XLOOKUP(TP!$B107,SETORES!B:B,SETORES!A:A)</f>
        <v>14</v>
      </c>
    </row>
    <row r="108" ht="14.25" customHeight="1">
      <c r="A108" s="17" t="s">
        <v>43</v>
      </c>
      <c r="B108" s="17" t="s">
        <v>24</v>
      </c>
      <c r="C108" s="16">
        <v>80.0</v>
      </c>
      <c r="D108" s="17"/>
      <c r="E108" s="25">
        <v>8.0</v>
      </c>
      <c r="F108" s="17"/>
      <c r="G108" s="17" t="s">
        <v>130</v>
      </c>
      <c r="H108" s="17">
        <v>107.0</v>
      </c>
      <c r="I108" s="17">
        <f t="array" ref="I108">XLOOKUP(TP!$A108,MACROZONAS!B:B,MACROZONAS!A:A)</f>
        <v>7</v>
      </c>
      <c r="J108" s="17">
        <f t="array" ref="J108">XLOOKUP(TP!$B108,SETORES!B:B,SETORES!A:A)</f>
        <v>14</v>
      </c>
    </row>
    <row r="109" ht="14.25" customHeight="1">
      <c r="A109" s="17" t="s">
        <v>42</v>
      </c>
      <c r="B109" s="17" t="s">
        <v>24</v>
      </c>
      <c r="C109" s="16">
        <v>20.0</v>
      </c>
      <c r="D109" s="17"/>
      <c r="E109" s="25">
        <v>8.0</v>
      </c>
      <c r="F109" s="17"/>
      <c r="G109" s="17" t="s">
        <v>130</v>
      </c>
      <c r="H109" s="17">
        <v>108.0</v>
      </c>
      <c r="I109" s="17">
        <f t="array" ref="I109">XLOOKUP(TP!$A109,MACROZONAS!B:B,MACROZONAS!A:A)</f>
        <v>3</v>
      </c>
      <c r="J109" s="17">
        <f t="array" ref="J109">XLOOKUP(TP!$B109,SETORES!B:B,SETORES!A:A)</f>
        <v>14</v>
      </c>
    </row>
    <row r="110" ht="14.25" customHeight="1">
      <c r="A110" s="17" t="s">
        <v>18</v>
      </c>
      <c r="B110" s="17" t="s">
        <v>24</v>
      </c>
      <c r="C110" s="16">
        <v>20.0</v>
      </c>
      <c r="D110" s="17"/>
      <c r="E110" s="25">
        <v>8.0</v>
      </c>
      <c r="F110" s="17"/>
      <c r="G110" s="17" t="s">
        <v>130</v>
      </c>
      <c r="H110" s="17">
        <v>109.0</v>
      </c>
      <c r="I110" s="17">
        <f t="array" ref="I110">XLOOKUP(TP!$A110,MACROZONAS!B:B,MACROZONAS!A:A)</f>
        <v>4</v>
      </c>
      <c r="J110" s="17">
        <f t="array" ref="J110">XLOOKUP(TP!$B110,SETORES!B:B,SETORES!A:A)</f>
        <v>14</v>
      </c>
    </row>
    <row r="111" ht="14.25" customHeight="1">
      <c r="A111" s="17" t="s">
        <v>33</v>
      </c>
      <c r="B111" s="17" t="s">
        <v>24</v>
      </c>
      <c r="C111" s="16">
        <v>20.0</v>
      </c>
      <c r="D111" s="17"/>
      <c r="E111" s="25">
        <v>8.0</v>
      </c>
      <c r="F111" s="17"/>
      <c r="G111" s="17" t="s">
        <v>130</v>
      </c>
      <c r="H111" s="17">
        <v>110.0</v>
      </c>
      <c r="I111" s="17">
        <f t="array" ref="I111">XLOOKUP(TP!$A111,MACROZONAS!B:B,MACROZONAS!A:A)</f>
        <v>1</v>
      </c>
      <c r="J111" s="17">
        <f t="array" ref="J111">XLOOKUP(TP!$B111,SETORES!B:B,SETORES!A:A)</f>
        <v>14</v>
      </c>
    </row>
    <row r="112" ht="14.25" customHeight="1">
      <c r="A112" s="17" t="s">
        <v>28</v>
      </c>
      <c r="B112" s="17" t="s">
        <v>24</v>
      </c>
      <c r="C112" s="16">
        <v>20.0</v>
      </c>
      <c r="D112" s="17"/>
      <c r="E112" s="25">
        <v>8.0</v>
      </c>
      <c r="F112" s="17"/>
      <c r="G112" s="17" t="s">
        <v>130</v>
      </c>
      <c r="H112" s="17">
        <v>111.0</v>
      </c>
      <c r="I112" s="17">
        <f t="array" ref="I112">XLOOKUP(TP!$A112,MACROZONAS!B:B,MACROZONAS!A:A)</f>
        <v>2</v>
      </c>
      <c r="J112" s="17">
        <f t="array" ref="J112">XLOOKUP(TP!$B112,SETORES!B:B,SETORES!A:A)</f>
        <v>14</v>
      </c>
    </row>
    <row r="113" ht="14.25" customHeight="1">
      <c r="A113" s="17" t="s">
        <v>39</v>
      </c>
      <c r="B113" s="17" t="s">
        <v>24</v>
      </c>
      <c r="C113" s="16">
        <v>80.0</v>
      </c>
      <c r="D113" s="17"/>
      <c r="E113" s="25">
        <v>8.0</v>
      </c>
      <c r="F113" s="17"/>
      <c r="G113" s="17" t="s">
        <v>130</v>
      </c>
      <c r="H113" s="17">
        <v>112.0</v>
      </c>
      <c r="I113" s="17">
        <f t="array" ref="I113">XLOOKUP(TP!$A113,MACROZONAS!B:B,MACROZONAS!A:A)</f>
        <v>5</v>
      </c>
      <c r="J113" s="17">
        <f t="array" ref="J113">XLOOKUP(TP!$B113,SETORES!B:B,SETORES!A:A)</f>
        <v>14</v>
      </c>
    </row>
    <row r="114" ht="14.25" customHeight="1">
      <c r="A114" s="17" t="s">
        <v>29</v>
      </c>
      <c r="B114" s="17" t="s">
        <v>23</v>
      </c>
      <c r="C114" s="16">
        <v>80.0</v>
      </c>
      <c r="D114" s="17"/>
      <c r="E114" s="25">
        <v>8.0</v>
      </c>
      <c r="F114" s="17"/>
      <c r="G114" s="17" t="s">
        <v>130</v>
      </c>
      <c r="H114" s="17">
        <v>113.0</v>
      </c>
      <c r="I114" s="17">
        <f t="array" ref="I114">XLOOKUP(TP!$A114,MACROZONAS!B:B,MACROZONAS!A:A)</f>
        <v>6</v>
      </c>
      <c r="J114" s="17">
        <f t="array" ref="J114">XLOOKUP(TP!$B114,SETORES!B:B,SETORES!A:A)</f>
        <v>15</v>
      </c>
    </row>
    <row r="115" ht="14.25" customHeight="1">
      <c r="A115" s="17" t="s">
        <v>43</v>
      </c>
      <c r="B115" s="17" t="s">
        <v>23</v>
      </c>
      <c r="C115" s="16">
        <v>80.0</v>
      </c>
      <c r="D115" s="17"/>
      <c r="E115" s="25">
        <v>8.0</v>
      </c>
      <c r="F115" s="17"/>
      <c r="G115" s="17" t="s">
        <v>130</v>
      </c>
      <c r="H115" s="17">
        <v>114.0</v>
      </c>
      <c r="I115" s="17">
        <f t="array" ref="I115">XLOOKUP(TP!$A115,MACROZONAS!B:B,MACROZONAS!A:A)</f>
        <v>7</v>
      </c>
      <c r="J115" s="17">
        <f t="array" ref="J115">XLOOKUP(TP!$B115,SETORES!B:B,SETORES!A:A)</f>
        <v>15</v>
      </c>
    </row>
    <row r="116" ht="14.25" customHeight="1">
      <c r="A116" s="17" t="s">
        <v>42</v>
      </c>
      <c r="B116" s="17" t="s">
        <v>23</v>
      </c>
      <c r="C116" s="16">
        <v>20.0</v>
      </c>
      <c r="D116" s="17"/>
      <c r="E116" s="25">
        <v>8.0</v>
      </c>
      <c r="F116" s="17"/>
      <c r="G116" s="17" t="s">
        <v>130</v>
      </c>
      <c r="H116" s="17">
        <v>115.0</v>
      </c>
      <c r="I116" s="17">
        <f t="array" ref="I116">XLOOKUP(TP!$A116,MACROZONAS!B:B,MACROZONAS!A:A)</f>
        <v>3</v>
      </c>
      <c r="J116" s="17">
        <f t="array" ref="J116">XLOOKUP(TP!$B116,SETORES!B:B,SETORES!A:A)</f>
        <v>15</v>
      </c>
    </row>
    <row r="117" ht="14.25" customHeight="1">
      <c r="A117" s="17" t="s">
        <v>18</v>
      </c>
      <c r="B117" s="17" t="s">
        <v>23</v>
      </c>
      <c r="C117" s="16">
        <v>20.0</v>
      </c>
      <c r="D117" s="17"/>
      <c r="E117" s="25">
        <v>8.0</v>
      </c>
      <c r="F117" s="17"/>
      <c r="G117" s="17" t="s">
        <v>130</v>
      </c>
      <c r="H117" s="17">
        <v>116.0</v>
      </c>
      <c r="I117" s="17">
        <f t="array" ref="I117">XLOOKUP(TP!$A117,MACROZONAS!B:B,MACROZONAS!A:A)</f>
        <v>4</v>
      </c>
      <c r="J117" s="17">
        <f t="array" ref="J117">XLOOKUP(TP!$B117,SETORES!B:B,SETORES!A:A)</f>
        <v>15</v>
      </c>
    </row>
    <row r="118" ht="14.25" customHeight="1">
      <c r="A118" s="17" t="s">
        <v>33</v>
      </c>
      <c r="B118" s="17" t="s">
        <v>23</v>
      </c>
      <c r="C118" s="16">
        <v>20.0</v>
      </c>
      <c r="D118" s="17"/>
      <c r="E118" s="25">
        <v>8.0</v>
      </c>
      <c r="F118" s="17"/>
      <c r="G118" s="17" t="s">
        <v>130</v>
      </c>
      <c r="H118" s="17">
        <v>117.0</v>
      </c>
      <c r="I118" s="17">
        <f t="array" ref="I118">XLOOKUP(TP!$A118,MACROZONAS!B:B,MACROZONAS!A:A)</f>
        <v>1</v>
      </c>
      <c r="J118" s="17">
        <f t="array" ref="J118">XLOOKUP(TP!$B118,SETORES!B:B,SETORES!A:A)</f>
        <v>15</v>
      </c>
    </row>
    <row r="119" ht="14.25" customHeight="1">
      <c r="A119" s="17" t="s">
        <v>28</v>
      </c>
      <c r="B119" s="17" t="s">
        <v>23</v>
      </c>
      <c r="C119" s="16">
        <v>20.0</v>
      </c>
      <c r="D119" s="17"/>
      <c r="E119" s="25">
        <v>8.0</v>
      </c>
      <c r="F119" s="17"/>
      <c r="G119" s="17" t="s">
        <v>130</v>
      </c>
      <c r="H119" s="17">
        <v>118.0</v>
      </c>
      <c r="I119" s="17">
        <f t="array" ref="I119">XLOOKUP(TP!$A119,MACROZONAS!B:B,MACROZONAS!A:A)</f>
        <v>2</v>
      </c>
      <c r="J119" s="17">
        <f t="array" ref="J119">XLOOKUP(TP!$B119,SETORES!B:B,SETORES!A:A)</f>
        <v>15</v>
      </c>
    </row>
    <row r="120" ht="14.25" customHeight="1">
      <c r="A120" s="17" t="s">
        <v>39</v>
      </c>
      <c r="B120" s="17" t="s">
        <v>23</v>
      </c>
      <c r="C120" s="16">
        <v>80.0</v>
      </c>
      <c r="D120" s="17"/>
      <c r="E120" s="25">
        <v>8.0</v>
      </c>
      <c r="F120" s="17"/>
      <c r="G120" s="17" t="s">
        <v>130</v>
      </c>
      <c r="H120" s="17">
        <v>119.0</v>
      </c>
      <c r="I120" s="17">
        <f t="array" ref="I120">XLOOKUP(TP!$A120,MACROZONAS!B:B,MACROZONAS!A:A)</f>
        <v>5</v>
      </c>
      <c r="J120" s="17">
        <f t="array" ref="J120">XLOOKUP(TP!$B120,SETORES!B:B,SETORES!A:A)</f>
        <v>15</v>
      </c>
    </row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dataValidations>
    <dataValidation type="list" allowBlank="1" showErrorMessage="1" sqref="A2:A120">
      <formula1>MACROZONAS!$B$2:$B$8</formula1>
    </dataValidation>
    <dataValidation type="list" allowBlank="1" showErrorMessage="1" sqref="B2:B120">
      <formula1>SETORES!$B$2:$B$18</formula1>
    </dataValidation>
  </dataValidations>
  <printOptions/>
  <pageMargins bottom="0.787401575" footer="0.0" header="0.0" left="0.511811024" right="0.511811024" top="0.787401575"/>
  <pageSetup orientation="landscape"/>
  <drawing r:id="rId1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1E4F5"/>
    <pageSetUpPr/>
  </sheetPr>
  <sheetViews>
    <sheetView workbookViewId="0"/>
  </sheetViews>
  <sheetFormatPr customHeight="1" defaultColWidth="12.63" defaultRowHeight="15.0"/>
  <cols>
    <col customWidth="1" min="1" max="1" width="23.75"/>
    <col customWidth="1" min="2" max="26" width="27.75"/>
  </cols>
  <sheetData>
    <row r="1" ht="14.25" customHeight="1">
      <c r="A1" s="24" t="s">
        <v>46</v>
      </c>
      <c r="B1" s="24" t="s">
        <v>47</v>
      </c>
      <c r="C1" s="24" t="s">
        <v>191</v>
      </c>
      <c r="D1" s="24" t="s">
        <v>192</v>
      </c>
      <c r="E1" s="24" t="s">
        <v>158</v>
      </c>
      <c r="F1" s="24" t="s">
        <v>159</v>
      </c>
      <c r="G1" s="24" t="s">
        <v>160</v>
      </c>
      <c r="H1" s="24" t="s">
        <v>127</v>
      </c>
      <c r="I1" s="24" t="s">
        <v>193</v>
      </c>
      <c r="J1" s="24" t="s">
        <v>194</v>
      </c>
      <c r="K1" s="24" t="s">
        <v>195</v>
      </c>
    </row>
    <row r="2" ht="14.25" customHeight="1">
      <c r="A2" s="17" t="s">
        <v>29</v>
      </c>
      <c r="B2" s="17" t="s">
        <v>26</v>
      </c>
      <c r="C2" s="16">
        <v>50.0</v>
      </c>
      <c r="D2" s="16">
        <v>500.0</v>
      </c>
      <c r="E2" s="17"/>
      <c r="F2" s="25" t="s">
        <v>196</v>
      </c>
      <c r="G2" s="17"/>
      <c r="H2" s="27" t="s">
        <v>130</v>
      </c>
      <c r="I2" s="27">
        <v>1.0</v>
      </c>
      <c r="J2" s="27">
        <f t="array" ref="J2">XLOOKUP(Vaga!$A2,MACROZONAS!B:B,MACROZONAS!A:A)</f>
        <v>6</v>
      </c>
      <c r="K2" s="27">
        <f t="array" ref="K2">XLOOKUP(Vaga!$B2,SETORES!B:B,SETORES!A:A)</f>
        <v>17</v>
      </c>
    </row>
    <row r="3" ht="14.25" customHeight="1">
      <c r="A3" s="17" t="s">
        <v>43</v>
      </c>
      <c r="B3" s="17" t="s">
        <v>26</v>
      </c>
      <c r="C3" s="16">
        <v>50.0</v>
      </c>
      <c r="D3" s="16">
        <v>500.0</v>
      </c>
      <c r="E3" s="17"/>
      <c r="F3" s="25" t="s">
        <v>196</v>
      </c>
      <c r="G3" s="17"/>
      <c r="H3" s="27" t="s">
        <v>130</v>
      </c>
      <c r="I3" s="27">
        <v>2.0</v>
      </c>
      <c r="J3" s="27">
        <f t="array" ref="J3">XLOOKUP(Vaga!$A3,MACROZONAS!B:B,MACROZONAS!A:A)</f>
        <v>7</v>
      </c>
      <c r="K3" s="27">
        <f t="array" ref="K3">XLOOKUP(Vaga!$B3,SETORES!B:B,SETORES!A:A)</f>
        <v>17</v>
      </c>
    </row>
    <row r="4" ht="14.25" customHeight="1">
      <c r="A4" s="17" t="s">
        <v>42</v>
      </c>
      <c r="B4" s="17" t="s">
        <v>26</v>
      </c>
      <c r="C4" s="16">
        <v>50.0</v>
      </c>
      <c r="D4" s="16">
        <v>500.0</v>
      </c>
      <c r="E4" s="17"/>
      <c r="F4" s="25" t="s">
        <v>196</v>
      </c>
      <c r="G4" s="17"/>
      <c r="H4" s="27" t="s">
        <v>130</v>
      </c>
      <c r="I4" s="27">
        <v>3.0</v>
      </c>
      <c r="J4" s="27">
        <f t="array" ref="J4">XLOOKUP(Vaga!$A4,MACROZONAS!B:B,MACROZONAS!A:A)</f>
        <v>3</v>
      </c>
      <c r="K4" s="27">
        <f t="array" ref="K4">XLOOKUP(Vaga!$B4,SETORES!B:B,SETORES!A:A)</f>
        <v>17</v>
      </c>
    </row>
    <row r="5" ht="14.25" customHeight="1">
      <c r="A5" s="17" t="s">
        <v>18</v>
      </c>
      <c r="B5" s="17" t="s">
        <v>26</v>
      </c>
      <c r="C5" s="16">
        <v>50.0</v>
      </c>
      <c r="D5" s="16">
        <v>500.0</v>
      </c>
      <c r="E5" s="17"/>
      <c r="F5" s="25" t="s">
        <v>196</v>
      </c>
      <c r="G5" s="17"/>
      <c r="H5" s="27" t="s">
        <v>130</v>
      </c>
      <c r="I5" s="27">
        <v>4.0</v>
      </c>
      <c r="J5" s="27">
        <f t="array" ref="J5">XLOOKUP(Vaga!$A5,MACROZONAS!B:B,MACROZONAS!A:A)</f>
        <v>4</v>
      </c>
      <c r="K5" s="27">
        <f t="array" ref="K5">XLOOKUP(Vaga!$B5,SETORES!B:B,SETORES!A:A)</f>
        <v>17</v>
      </c>
    </row>
    <row r="6" ht="14.25" customHeight="1">
      <c r="A6" s="17" t="s">
        <v>33</v>
      </c>
      <c r="B6" s="17" t="s">
        <v>26</v>
      </c>
      <c r="C6" s="16">
        <v>50.0</v>
      </c>
      <c r="D6" s="16">
        <v>500.0</v>
      </c>
      <c r="E6" s="17"/>
      <c r="F6" s="25" t="s">
        <v>196</v>
      </c>
      <c r="G6" s="17"/>
      <c r="H6" s="27" t="s">
        <v>130</v>
      </c>
      <c r="I6" s="27">
        <v>5.0</v>
      </c>
      <c r="J6" s="27">
        <f t="array" ref="J6">XLOOKUP(Vaga!$A6,MACROZONAS!B:B,MACROZONAS!A:A)</f>
        <v>1</v>
      </c>
      <c r="K6" s="27">
        <f t="array" ref="K6">XLOOKUP(Vaga!$B6,SETORES!B:B,SETORES!A:A)</f>
        <v>17</v>
      </c>
    </row>
    <row r="7" ht="14.25" customHeight="1">
      <c r="A7" s="17" t="s">
        <v>28</v>
      </c>
      <c r="B7" s="17" t="s">
        <v>26</v>
      </c>
      <c r="C7" s="16">
        <v>50.0</v>
      </c>
      <c r="D7" s="16">
        <v>500.0</v>
      </c>
      <c r="E7" s="17"/>
      <c r="F7" s="25" t="s">
        <v>196</v>
      </c>
      <c r="G7" s="17"/>
      <c r="H7" s="27" t="s">
        <v>130</v>
      </c>
      <c r="I7" s="27">
        <v>6.0</v>
      </c>
      <c r="J7" s="27">
        <f t="array" ref="J7">XLOOKUP(Vaga!$A7,MACROZONAS!B:B,MACROZONAS!A:A)</f>
        <v>2</v>
      </c>
      <c r="K7" s="27">
        <f t="array" ref="K7">XLOOKUP(Vaga!$B7,SETORES!B:B,SETORES!A:A)</f>
        <v>17</v>
      </c>
    </row>
    <row r="8" ht="14.25" customHeight="1">
      <c r="A8" s="17" t="s">
        <v>39</v>
      </c>
      <c r="B8" s="17" t="s">
        <v>26</v>
      </c>
      <c r="C8" s="16"/>
      <c r="D8" s="16"/>
      <c r="E8" s="17"/>
      <c r="F8" s="25" t="s">
        <v>196</v>
      </c>
      <c r="G8" s="17"/>
      <c r="H8" s="27"/>
      <c r="I8" s="27">
        <v>7.0</v>
      </c>
      <c r="J8" s="27">
        <f t="array" ref="J8">XLOOKUP(Vaga!$A8,MACROZONAS!B:B,MACROZONAS!A:A)</f>
        <v>5</v>
      </c>
      <c r="K8" s="27">
        <f t="array" ref="K8">XLOOKUP(Vaga!$B8,SETORES!B:B,SETORES!A:A)</f>
        <v>17</v>
      </c>
    </row>
    <row r="9" ht="14.25" customHeight="1">
      <c r="A9" s="17" t="s">
        <v>29</v>
      </c>
      <c r="B9" s="17" t="s">
        <v>35</v>
      </c>
      <c r="C9" s="16">
        <v>50.0</v>
      </c>
      <c r="D9" s="16">
        <v>500.0</v>
      </c>
      <c r="E9" s="17"/>
      <c r="F9" s="25" t="s">
        <v>196</v>
      </c>
      <c r="G9" s="17"/>
      <c r="H9" s="27" t="s">
        <v>130</v>
      </c>
      <c r="I9" s="27">
        <v>8.0</v>
      </c>
      <c r="J9" s="27">
        <f t="array" ref="J9">XLOOKUP(Vaga!$A9,MACROZONAS!B:B,MACROZONAS!A:A)</f>
        <v>6</v>
      </c>
      <c r="K9" s="27">
        <f t="array" ref="K9">XLOOKUP(Vaga!$B9,SETORES!B:B,SETORES!A:A)</f>
        <v>16</v>
      </c>
    </row>
    <row r="10" ht="14.25" customHeight="1">
      <c r="A10" s="17" t="s">
        <v>43</v>
      </c>
      <c r="B10" s="17" t="s">
        <v>35</v>
      </c>
      <c r="C10" s="16">
        <v>50.0</v>
      </c>
      <c r="D10" s="16">
        <v>500.0</v>
      </c>
      <c r="E10" s="17"/>
      <c r="F10" s="25" t="s">
        <v>196</v>
      </c>
      <c r="G10" s="17"/>
      <c r="H10" s="27" t="s">
        <v>130</v>
      </c>
      <c r="I10" s="27">
        <v>9.0</v>
      </c>
      <c r="J10" s="27">
        <f t="array" ref="J10">XLOOKUP(Vaga!$A10,MACROZONAS!B:B,MACROZONAS!A:A)</f>
        <v>7</v>
      </c>
      <c r="K10" s="27">
        <f t="array" ref="K10">XLOOKUP(Vaga!$B10,SETORES!B:B,SETORES!A:A)</f>
        <v>16</v>
      </c>
    </row>
    <row r="11" ht="14.25" customHeight="1">
      <c r="A11" s="17" t="s">
        <v>42</v>
      </c>
      <c r="B11" s="17" t="s">
        <v>35</v>
      </c>
      <c r="C11" s="16">
        <v>50.0</v>
      </c>
      <c r="D11" s="16">
        <v>500.0</v>
      </c>
      <c r="E11" s="17"/>
      <c r="F11" s="25" t="s">
        <v>196</v>
      </c>
      <c r="G11" s="17"/>
      <c r="H11" s="27" t="s">
        <v>130</v>
      </c>
      <c r="I11" s="27">
        <v>10.0</v>
      </c>
      <c r="J11" s="27">
        <f t="array" ref="J11">XLOOKUP(Vaga!$A11,MACROZONAS!B:B,MACROZONAS!A:A)</f>
        <v>3</v>
      </c>
      <c r="K11" s="27">
        <f t="array" ref="K11">XLOOKUP(Vaga!$B11,SETORES!B:B,SETORES!A:A)</f>
        <v>16</v>
      </c>
    </row>
    <row r="12" ht="14.25" customHeight="1">
      <c r="A12" s="17" t="s">
        <v>18</v>
      </c>
      <c r="B12" s="17" t="s">
        <v>35</v>
      </c>
      <c r="C12" s="16">
        <v>50.0</v>
      </c>
      <c r="D12" s="16">
        <v>500.0</v>
      </c>
      <c r="E12" s="17"/>
      <c r="F12" s="25" t="s">
        <v>196</v>
      </c>
      <c r="G12" s="17"/>
      <c r="H12" s="27" t="s">
        <v>130</v>
      </c>
      <c r="I12" s="27">
        <v>11.0</v>
      </c>
      <c r="J12" s="27">
        <f t="array" ref="J12">XLOOKUP(Vaga!$A12,MACROZONAS!B:B,MACROZONAS!A:A)</f>
        <v>4</v>
      </c>
      <c r="K12" s="27">
        <f t="array" ref="K12">XLOOKUP(Vaga!$B12,SETORES!B:B,SETORES!A:A)</f>
        <v>16</v>
      </c>
    </row>
    <row r="13" ht="14.25" customHeight="1">
      <c r="A13" s="17" t="s">
        <v>33</v>
      </c>
      <c r="B13" s="17" t="s">
        <v>35</v>
      </c>
      <c r="C13" s="16">
        <v>50.0</v>
      </c>
      <c r="D13" s="16">
        <v>500.0</v>
      </c>
      <c r="E13" s="17"/>
      <c r="F13" s="25" t="s">
        <v>196</v>
      </c>
      <c r="G13" s="17"/>
      <c r="H13" s="27" t="s">
        <v>130</v>
      </c>
      <c r="I13" s="27">
        <v>12.0</v>
      </c>
      <c r="J13" s="27">
        <f t="array" ref="J13">XLOOKUP(Vaga!$A13,MACROZONAS!B:B,MACROZONAS!A:A)</f>
        <v>1</v>
      </c>
      <c r="K13" s="27">
        <f t="array" ref="K13">XLOOKUP(Vaga!$B13,SETORES!B:B,SETORES!A:A)</f>
        <v>16</v>
      </c>
    </row>
    <row r="14" ht="14.25" customHeight="1">
      <c r="A14" s="17" t="s">
        <v>28</v>
      </c>
      <c r="B14" s="17" t="s">
        <v>35</v>
      </c>
      <c r="C14" s="16">
        <v>50.0</v>
      </c>
      <c r="D14" s="16">
        <v>500.0</v>
      </c>
      <c r="E14" s="17"/>
      <c r="F14" s="25" t="s">
        <v>196</v>
      </c>
      <c r="G14" s="17"/>
      <c r="H14" s="27" t="s">
        <v>130</v>
      </c>
      <c r="I14" s="27">
        <v>13.0</v>
      </c>
      <c r="J14" s="27">
        <f t="array" ref="J14">XLOOKUP(Vaga!$A14,MACROZONAS!B:B,MACROZONAS!A:A)</f>
        <v>2</v>
      </c>
      <c r="K14" s="27">
        <f t="array" ref="K14">XLOOKUP(Vaga!$B14,SETORES!B:B,SETORES!A:A)</f>
        <v>16</v>
      </c>
    </row>
    <row r="15" ht="14.25" customHeight="1">
      <c r="A15" s="17" t="s">
        <v>39</v>
      </c>
      <c r="B15" s="17" t="s">
        <v>35</v>
      </c>
      <c r="C15" s="16"/>
      <c r="D15" s="16"/>
      <c r="E15" s="17"/>
      <c r="F15" s="25" t="s">
        <v>196</v>
      </c>
      <c r="G15" s="17"/>
      <c r="H15" s="27"/>
      <c r="I15" s="27">
        <v>14.0</v>
      </c>
      <c r="J15" s="27">
        <f t="array" ref="J15">XLOOKUP(Vaga!$A15,MACROZONAS!B:B,MACROZONAS!A:A)</f>
        <v>5</v>
      </c>
      <c r="K15" s="27">
        <f t="array" ref="K15">XLOOKUP(Vaga!$B15,SETORES!B:B,SETORES!A:A)</f>
        <v>16</v>
      </c>
    </row>
    <row r="16" ht="14.25" customHeight="1">
      <c r="A16" s="17" t="s">
        <v>29</v>
      </c>
      <c r="B16" s="17" t="s">
        <v>12</v>
      </c>
      <c r="C16" s="16">
        <v>50.0</v>
      </c>
      <c r="D16" s="16">
        <v>500.0</v>
      </c>
      <c r="E16" s="17"/>
      <c r="F16" s="25" t="s">
        <v>196</v>
      </c>
      <c r="G16" s="17"/>
      <c r="H16" s="27" t="s">
        <v>130</v>
      </c>
      <c r="I16" s="27">
        <v>15.0</v>
      </c>
      <c r="J16" s="27">
        <f t="array" ref="J16">XLOOKUP(Vaga!$A16,MACROZONAS!B:B,MACROZONAS!A:A)</f>
        <v>6</v>
      </c>
      <c r="K16" s="27">
        <f t="array" ref="K16">XLOOKUP(Vaga!$B16,SETORES!B:B,SETORES!A:A)</f>
        <v>1</v>
      </c>
    </row>
    <row r="17" ht="14.25" customHeight="1">
      <c r="A17" s="17" t="s">
        <v>43</v>
      </c>
      <c r="B17" s="17" t="s">
        <v>12</v>
      </c>
      <c r="C17" s="16">
        <v>50.0</v>
      </c>
      <c r="D17" s="16">
        <v>500.0</v>
      </c>
      <c r="E17" s="17"/>
      <c r="F17" s="25" t="s">
        <v>196</v>
      </c>
      <c r="G17" s="17"/>
      <c r="H17" s="27" t="s">
        <v>130</v>
      </c>
      <c r="I17" s="27">
        <v>16.0</v>
      </c>
      <c r="J17" s="27">
        <f t="array" ref="J17">XLOOKUP(Vaga!$A17,MACROZONAS!B:B,MACROZONAS!A:A)</f>
        <v>7</v>
      </c>
      <c r="K17" s="27">
        <f t="array" ref="K17">XLOOKUP(Vaga!$B17,SETORES!B:B,SETORES!A:A)</f>
        <v>1</v>
      </c>
    </row>
    <row r="18" ht="14.25" customHeight="1">
      <c r="A18" s="17" t="s">
        <v>42</v>
      </c>
      <c r="B18" s="17" t="s">
        <v>12</v>
      </c>
      <c r="C18" s="16">
        <v>50.0</v>
      </c>
      <c r="D18" s="16">
        <v>500.0</v>
      </c>
      <c r="E18" s="17"/>
      <c r="F18" s="25" t="s">
        <v>196</v>
      </c>
      <c r="G18" s="17"/>
      <c r="H18" s="27" t="s">
        <v>130</v>
      </c>
      <c r="I18" s="27">
        <v>17.0</v>
      </c>
      <c r="J18" s="27">
        <f t="array" ref="J18">XLOOKUP(Vaga!$A18,MACROZONAS!B:B,MACROZONAS!A:A)</f>
        <v>3</v>
      </c>
      <c r="K18" s="27">
        <f t="array" ref="K18">XLOOKUP(Vaga!$B18,SETORES!B:B,SETORES!A:A)</f>
        <v>1</v>
      </c>
    </row>
    <row r="19" ht="14.25" customHeight="1">
      <c r="A19" s="17" t="s">
        <v>18</v>
      </c>
      <c r="B19" s="17" t="s">
        <v>12</v>
      </c>
      <c r="C19" s="16">
        <v>50.0</v>
      </c>
      <c r="D19" s="16">
        <v>500.0</v>
      </c>
      <c r="E19" s="17"/>
      <c r="F19" s="25" t="s">
        <v>196</v>
      </c>
      <c r="G19" s="17"/>
      <c r="H19" s="27" t="s">
        <v>130</v>
      </c>
      <c r="I19" s="27">
        <v>18.0</v>
      </c>
      <c r="J19" s="27">
        <f t="array" ref="J19">XLOOKUP(Vaga!$A19,MACROZONAS!B:B,MACROZONAS!A:A)</f>
        <v>4</v>
      </c>
      <c r="K19" s="27">
        <f t="array" ref="K19">XLOOKUP(Vaga!$B19,SETORES!B:B,SETORES!A:A)</f>
        <v>1</v>
      </c>
    </row>
    <row r="20" ht="14.25" customHeight="1">
      <c r="A20" s="17" t="s">
        <v>33</v>
      </c>
      <c r="B20" s="17" t="s">
        <v>12</v>
      </c>
      <c r="C20" s="16">
        <v>50.0</v>
      </c>
      <c r="D20" s="16">
        <v>500.0</v>
      </c>
      <c r="E20" s="17"/>
      <c r="F20" s="25" t="s">
        <v>196</v>
      </c>
      <c r="G20" s="17"/>
      <c r="H20" s="27" t="s">
        <v>130</v>
      </c>
      <c r="I20" s="27">
        <v>19.0</v>
      </c>
      <c r="J20" s="27">
        <f t="array" ref="J20">XLOOKUP(Vaga!$A20,MACROZONAS!B:B,MACROZONAS!A:A)</f>
        <v>1</v>
      </c>
      <c r="K20" s="27">
        <f t="array" ref="K20">XLOOKUP(Vaga!$B20,SETORES!B:B,SETORES!A:A)</f>
        <v>1</v>
      </c>
    </row>
    <row r="21" ht="14.25" customHeight="1">
      <c r="A21" s="17" t="s">
        <v>28</v>
      </c>
      <c r="B21" s="17" t="s">
        <v>12</v>
      </c>
      <c r="C21" s="16">
        <v>50.0</v>
      </c>
      <c r="D21" s="16">
        <v>500.0</v>
      </c>
      <c r="E21" s="17"/>
      <c r="F21" s="25" t="s">
        <v>196</v>
      </c>
      <c r="G21" s="17"/>
      <c r="H21" s="27" t="s">
        <v>130</v>
      </c>
      <c r="I21" s="27">
        <v>20.0</v>
      </c>
      <c r="J21" s="27">
        <f t="array" ref="J21">XLOOKUP(Vaga!$A21,MACROZONAS!B:B,MACROZONAS!A:A)</f>
        <v>2</v>
      </c>
      <c r="K21" s="27">
        <f t="array" ref="K21">XLOOKUP(Vaga!$B21,SETORES!B:B,SETORES!A:A)</f>
        <v>1</v>
      </c>
    </row>
    <row r="22" ht="14.25" customHeight="1">
      <c r="A22" s="17" t="s">
        <v>39</v>
      </c>
      <c r="B22" s="17" t="s">
        <v>12</v>
      </c>
      <c r="C22" s="16"/>
      <c r="D22" s="16"/>
      <c r="E22" s="17"/>
      <c r="F22" s="25" t="s">
        <v>196</v>
      </c>
      <c r="G22" s="17"/>
      <c r="H22" s="27"/>
      <c r="I22" s="27">
        <v>21.0</v>
      </c>
      <c r="J22" s="27">
        <f t="array" ref="J22">XLOOKUP(Vaga!$A22,MACROZONAS!B:B,MACROZONAS!A:A)</f>
        <v>5</v>
      </c>
      <c r="K22" s="27">
        <f t="array" ref="K22">XLOOKUP(Vaga!$B22,SETORES!B:B,SETORES!A:A)</f>
        <v>1</v>
      </c>
    </row>
    <row r="23" ht="14.25" customHeight="1">
      <c r="A23" s="17" t="s">
        <v>29</v>
      </c>
      <c r="B23" s="17" t="s">
        <v>34</v>
      </c>
      <c r="C23" s="16">
        <v>50.0</v>
      </c>
      <c r="D23" s="16">
        <v>500.0</v>
      </c>
      <c r="E23" s="17"/>
      <c r="F23" s="25" t="s">
        <v>196</v>
      </c>
      <c r="G23" s="17"/>
      <c r="H23" s="27" t="s">
        <v>130</v>
      </c>
      <c r="I23" s="27">
        <v>22.0</v>
      </c>
      <c r="J23" s="27">
        <f t="array" ref="J23">XLOOKUP(Vaga!$A23,MACROZONAS!B:B,MACROZONAS!A:A)</f>
        <v>6</v>
      </c>
      <c r="K23" s="27">
        <f t="array" ref="K23">XLOOKUP(Vaga!$B23,SETORES!B:B,SETORES!A:A)</f>
        <v>2</v>
      </c>
    </row>
    <row r="24" ht="14.25" customHeight="1">
      <c r="A24" s="17" t="s">
        <v>43</v>
      </c>
      <c r="B24" s="17" t="s">
        <v>34</v>
      </c>
      <c r="C24" s="16">
        <v>50.0</v>
      </c>
      <c r="D24" s="16">
        <v>500.0</v>
      </c>
      <c r="E24" s="17"/>
      <c r="F24" s="25" t="s">
        <v>196</v>
      </c>
      <c r="G24" s="17"/>
      <c r="H24" s="27" t="s">
        <v>130</v>
      </c>
      <c r="I24" s="27">
        <v>23.0</v>
      </c>
      <c r="J24" s="27">
        <f t="array" ref="J24">XLOOKUP(Vaga!$A24,MACROZONAS!B:B,MACROZONAS!A:A)</f>
        <v>7</v>
      </c>
      <c r="K24" s="27">
        <f t="array" ref="K24">XLOOKUP(Vaga!$B24,SETORES!B:B,SETORES!A:A)</f>
        <v>2</v>
      </c>
    </row>
    <row r="25" ht="14.25" customHeight="1">
      <c r="A25" s="17" t="s">
        <v>42</v>
      </c>
      <c r="B25" s="17" t="s">
        <v>34</v>
      </c>
      <c r="C25" s="16">
        <v>50.0</v>
      </c>
      <c r="D25" s="16">
        <v>500.0</v>
      </c>
      <c r="E25" s="17"/>
      <c r="F25" s="25" t="s">
        <v>196</v>
      </c>
      <c r="G25" s="17"/>
      <c r="H25" s="27" t="s">
        <v>130</v>
      </c>
      <c r="I25" s="27">
        <v>24.0</v>
      </c>
      <c r="J25" s="27">
        <f t="array" ref="J25">XLOOKUP(Vaga!$A25,MACROZONAS!B:B,MACROZONAS!A:A)</f>
        <v>3</v>
      </c>
      <c r="K25" s="27">
        <f t="array" ref="K25">XLOOKUP(Vaga!$B25,SETORES!B:B,SETORES!A:A)</f>
        <v>2</v>
      </c>
    </row>
    <row r="26" ht="14.25" customHeight="1">
      <c r="A26" s="17" t="s">
        <v>18</v>
      </c>
      <c r="B26" s="17" t="s">
        <v>34</v>
      </c>
      <c r="C26" s="16">
        <v>50.0</v>
      </c>
      <c r="D26" s="16">
        <v>500.0</v>
      </c>
      <c r="E26" s="17"/>
      <c r="F26" s="25" t="s">
        <v>196</v>
      </c>
      <c r="G26" s="17"/>
      <c r="H26" s="27" t="s">
        <v>130</v>
      </c>
      <c r="I26" s="27">
        <v>25.0</v>
      </c>
      <c r="J26" s="27">
        <f t="array" ref="J26">XLOOKUP(Vaga!$A26,MACROZONAS!B:B,MACROZONAS!A:A)</f>
        <v>4</v>
      </c>
      <c r="K26" s="27">
        <f t="array" ref="K26">XLOOKUP(Vaga!$B26,SETORES!B:B,SETORES!A:A)</f>
        <v>2</v>
      </c>
    </row>
    <row r="27" ht="14.25" customHeight="1">
      <c r="A27" s="17" t="s">
        <v>33</v>
      </c>
      <c r="B27" s="17" t="s">
        <v>34</v>
      </c>
      <c r="C27" s="16">
        <v>50.0</v>
      </c>
      <c r="D27" s="16">
        <v>500.0</v>
      </c>
      <c r="E27" s="25"/>
      <c r="F27" s="25" t="s">
        <v>196</v>
      </c>
      <c r="G27" s="25"/>
      <c r="H27" s="27" t="s">
        <v>130</v>
      </c>
      <c r="I27" s="27">
        <v>26.0</v>
      </c>
      <c r="J27" s="27">
        <f t="array" ref="J27">XLOOKUP(Vaga!$A27,MACROZONAS!B:B,MACROZONAS!A:A)</f>
        <v>1</v>
      </c>
      <c r="K27" s="27">
        <f t="array" ref="K27">XLOOKUP(Vaga!$B27,SETORES!B:B,SETORES!A:A)</f>
        <v>2</v>
      </c>
    </row>
    <row r="28" ht="14.25" customHeight="1">
      <c r="A28" s="17" t="s">
        <v>28</v>
      </c>
      <c r="B28" s="17" t="s">
        <v>34</v>
      </c>
      <c r="C28" s="16">
        <v>50.0</v>
      </c>
      <c r="D28" s="16">
        <v>500.0</v>
      </c>
      <c r="E28" s="17"/>
      <c r="F28" s="25" t="s">
        <v>196</v>
      </c>
      <c r="G28" s="17"/>
      <c r="H28" s="27" t="s">
        <v>130</v>
      </c>
      <c r="I28" s="27">
        <v>27.0</v>
      </c>
      <c r="J28" s="27">
        <f t="array" ref="J28">XLOOKUP(Vaga!$A28,MACROZONAS!B:B,MACROZONAS!A:A)</f>
        <v>2</v>
      </c>
      <c r="K28" s="27">
        <f t="array" ref="K28">XLOOKUP(Vaga!$B28,SETORES!B:B,SETORES!A:A)</f>
        <v>2</v>
      </c>
    </row>
    <row r="29" ht="14.25" customHeight="1">
      <c r="A29" s="17" t="s">
        <v>39</v>
      </c>
      <c r="B29" s="17" t="s">
        <v>34</v>
      </c>
      <c r="C29" s="16"/>
      <c r="D29" s="16"/>
      <c r="E29" s="17"/>
      <c r="F29" s="25" t="s">
        <v>196</v>
      </c>
      <c r="G29" s="17"/>
      <c r="H29" s="27"/>
      <c r="I29" s="27">
        <v>28.0</v>
      </c>
      <c r="J29" s="27">
        <f t="array" ref="J29">XLOOKUP(Vaga!$A29,MACROZONAS!B:B,MACROZONAS!A:A)</f>
        <v>5</v>
      </c>
      <c r="K29" s="27">
        <f t="array" ref="K29">XLOOKUP(Vaga!$B29,SETORES!B:B,SETORES!A:A)</f>
        <v>2</v>
      </c>
    </row>
    <row r="30" ht="14.25" customHeight="1">
      <c r="A30" s="17" t="s">
        <v>29</v>
      </c>
      <c r="B30" s="17" t="s">
        <v>41</v>
      </c>
      <c r="C30" s="16">
        <v>50.0</v>
      </c>
      <c r="D30" s="16">
        <v>500.0</v>
      </c>
      <c r="E30" s="17"/>
      <c r="F30" s="25" t="s">
        <v>196</v>
      </c>
      <c r="G30" s="17"/>
      <c r="H30" s="27" t="s">
        <v>130</v>
      </c>
      <c r="I30" s="27">
        <v>29.0</v>
      </c>
      <c r="J30" s="27">
        <f t="array" ref="J30">XLOOKUP(Vaga!$A30,MACROZONAS!B:B,MACROZONAS!A:A)</f>
        <v>6</v>
      </c>
      <c r="K30" s="27">
        <f t="array" ref="K30">XLOOKUP(Vaga!$B30,SETORES!B:B,SETORES!A:A)</f>
        <v>3</v>
      </c>
    </row>
    <row r="31" ht="14.25" customHeight="1">
      <c r="A31" s="17" t="s">
        <v>43</v>
      </c>
      <c r="B31" s="17" t="s">
        <v>41</v>
      </c>
      <c r="C31" s="16">
        <v>50.0</v>
      </c>
      <c r="D31" s="16">
        <v>500.0</v>
      </c>
      <c r="E31" s="17"/>
      <c r="F31" s="25" t="s">
        <v>196</v>
      </c>
      <c r="G31" s="17"/>
      <c r="H31" s="27" t="s">
        <v>130</v>
      </c>
      <c r="I31" s="27">
        <v>30.0</v>
      </c>
      <c r="J31" s="27">
        <f t="array" ref="J31">XLOOKUP(Vaga!$A31,MACROZONAS!B:B,MACROZONAS!A:A)</f>
        <v>7</v>
      </c>
      <c r="K31" s="27">
        <f t="array" ref="K31">XLOOKUP(Vaga!$B31,SETORES!B:B,SETORES!A:A)</f>
        <v>3</v>
      </c>
    </row>
    <row r="32" ht="14.25" customHeight="1">
      <c r="A32" s="17" t="s">
        <v>42</v>
      </c>
      <c r="B32" s="17" t="s">
        <v>41</v>
      </c>
      <c r="C32" s="16">
        <v>50.0</v>
      </c>
      <c r="D32" s="16">
        <v>500.0</v>
      </c>
      <c r="E32" s="17"/>
      <c r="F32" s="25" t="s">
        <v>196</v>
      </c>
      <c r="G32" s="17"/>
      <c r="H32" s="27" t="s">
        <v>130</v>
      </c>
      <c r="I32" s="27">
        <v>31.0</v>
      </c>
      <c r="J32" s="27">
        <f t="array" ref="J32">XLOOKUP(Vaga!$A32,MACROZONAS!B:B,MACROZONAS!A:A)</f>
        <v>3</v>
      </c>
      <c r="K32" s="27">
        <f t="array" ref="K32">XLOOKUP(Vaga!$B32,SETORES!B:B,SETORES!A:A)</f>
        <v>3</v>
      </c>
    </row>
    <row r="33" ht="14.25" customHeight="1">
      <c r="A33" s="17" t="s">
        <v>18</v>
      </c>
      <c r="B33" s="17" t="s">
        <v>41</v>
      </c>
      <c r="C33" s="16">
        <v>50.0</v>
      </c>
      <c r="D33" s="16">
        <v>500.0</v>
      </c>
      <c r="E33" s="17"/>
      <c r="F33" s="25" t="s">
        <v>196</v>
      </c>
      <c r="G33" s="17"/>
      <c r="H33" s="27" t="s">
        <v>130</v>
      </c>
      <c r="I33" s="27">
        <v>32.0</v>
      </c>
      <c r="J33" s="27">
        <f t="array" ref="J33">XLOOKUP(Vaga!$A33,MACROZONAS!B:B,MACROZONAS!A:A)</f>
        <v>4</v>
      </c>
      <c r="K33" s="27">
        <f t="array" ref="K33">XLOOKUP(Vaga!$B33,SETORES!B:B,SETORES!A:A)</f>
        <v>3</v>
      </c>
    </row>
    <row r="34" ht="14.25" customHeight="1">
      <c r="A34" s="17" t="s">
        <v>33</v>
      </c>
      <c r="B34" s="17" t="s">
        <v>41</v>
      </c>
      <c r="C34" s="16">
        <v>50.0</v>
      </c>
      <c r="D34" s="16">
        <v>500.0</v>
      </c>
      <c r="E34" s="17"/>
      <c r="F34" s="25" t="s">
        <v>196</v>
      </c>
      <c r="G34" s="17"/>
      <c r="H34" s="27" t="s">
        <v>130</v>
      </c>
      <c r="I34" s="27">
        <v>33.0</v>
      </c>
      <c r="J34" s="27">
        <f t="array" ref="J34">XLOOKUP(Vaga!$A34,MACROZONAS!B:B,MACROZONAS!A:A)</f>
        <v>1</v>
      </c>
      <c r="K34" s="27">
        <f t="array" ref="K34">XLOOKUP(Vaga!$B34,SETORES!B:B,SETORES!A:A)</f>
        <v>3</v>
      </c>
    </row>
    <row r="35" ht="14.25" customHeight="1">
      <c r="A35" s="17" t="s">
        <v>28</v>
      </c>
      <c r="B35" s="17" t="s">
        <v>41</v>
      </c>
      <c r="C35" s="16">
        <v>50.0</v>
      </c>
      <c r="D35" s="16">
        <v>500.0</v>
      </c>
      <c r="E35" s="17"/>
      <c r="F35" s="25" t="s">
        <v>196</v>
      </c>
      <c r="G35" s="17"/>
      <c r="H35" s="27" t="s">
        <v>130</v>
      </c>
      <c r="I35" s="27">
        <v>34.0</v>
      </c>
      <c r="J35" s="27">
        <f t="array" ref="J35">XLOOKUP(Vaga!$A35,MACROZONAS!B:B,MACROZONAS!A:A)</f>
        <v>2</v>
      </c>
      <c r="K35" s="27">
        <f t="array" ref="K35">XLOOKUP(Vaga!$B35,SETORES!B:B,SETORES!A:A)</f>
        <v>3</v>
      </c>
    </row>
    <row r="36" ht="14.25" customHeight="1">
      <c r="A36" s="17" t="s">
        <v>39</v>
      </c>
      <c r="B36" s="17" t="s">
        <v>41</v>
      </c>
      <c r="C36" s="16"/>
      <c r="D36" s="16"/>
      <c r="E36" s="17"/>
      <c r="F36" s="25" t="s">
        <v>196</v>
      </c>
      <c r="G36" s="17"/>
      <c r="H36" s="27"/>
      <c r="I36" s="27">
        <v>35.0</v>
      </c>
      <c r="J36" s="27">
        <f t="array" ref="J36">XLOOKUP(Vaga!$A36,MACROZONAS!B:B,MACROZONAS!A:A)</f>
        <v>5</v>
      </c>
      <c r="K36" s="27">
        <f t="array" ref="K36">XLOOKUP(Vaga!$B36,SETORES!B:B,SETORES!A:A)</f>
        <v>3</v>
      </c>
    </row>
    <row r="37" ht="14.25" customHeight="1">
      <c r="A37" s="17" t="s">
        <v>29</v>
      </c>
      <c r="B37" s="17" t="s">
        <v>25</v>
      </c>
      <c r="C37" s="16">
        <v>50.0</v>
      </c>
      <c r="D37" s="16">
        <v>500.0</v>
      </c>
      <c r="E37" s="17"/>
      <c r="F37" s="25" t="s">
        <v>196</v>
      </c>
      <c r="G37" s="17"/>
      <c r="H37" s="27" t="s">
        <v>130</v>
      </c>
      <c r="I37" s="27">
        <v>36.0</v>
      </c>
      <c r="J37" s="27">
        <f t="array" ref="J37">XLOOKUP(Vaga!$A37,MACROZONAS!B:B,MACROZONAS!A:A)</f>
        <v>6</v>
      </c>
      <c r="K37" s="27">
        <f t="array" ref="K37">XLOOKUP(Vaga!$B37,SETORES!B:B,SETORES!A:A)</f>
        <v>4</v>
      </c>
    </row>
    <row r="38" ht="14.25" customHeight="1">
      <c r="A38" s="17" t="s">
        <v>43</v>
      </c>
      <c r="B38" s="17" t="s">
        <v>25</v>
      </c>
      <c r="C38" s="16">
        <v>50.0</v>
      </c>
      <c r="D38" s="16">
        <v>500.0</v>
      </c>
      <c r="E38" s="17"/>
      <c r="F38" s="25" t="s">
        <v>196</v>
      </c>
      <c r="G38" s="17"/>
      <c r="H38" s="27" t="s">
        <v>130</v>
      </c>
      <c r="I38" s="27">
        <v>37.0</v>
      </c>
      <c r="J38" s="27">
        <f t="array" ref="J38">XLOOKUP(Vaga!$A38,MACROZONAS!B:B,MACROZONAS!A:A)</f>
        <v>7</v>
      </c>
      <c r="K38" s="27">
        <f t="array" ref="K38">XLOOKUP(Vaga!$B38,SETORES!B:B,SETORES!A:A)</f>
        <v>4</v>
      </c>
    </row>
    <row r="39" ht="14.25" customHeight="1">
      <c r="A39" s="17" t="s">
        <v>42</v>
      </c>
      <c r="B39" s="17" t="s">
        <v>25</v>
      </c>
      <c r="C39" s="16">
        <v>50.0</v>
      </c>
      <c r="D39" s="16">
        <v>500.0</v>
      </c>
      <c r="E39" s="17"/>
      <c r="F39" s="25" t="s">
        <v>196</v>
      </c>
      <c r="G39" s="17"/>
      <c r="H39" s="27" t="s">
        <v>130</v>
      </c>
      <c r="I39" s="27">
        <v>38.0</v>
      </c>
      <c r="J39" s="27">
        <f t="array" ref="J39">XLOOKUP(Vaga!$A39,MACROZONAS!B:B,MACROZONAS!A:A)</f>
        <v>3</v>
      </c>
      <c r="K39" s="27">
        <f t="array" ref="K39">XLOOKUP(Vaga!$B39,SETORES!B:B,SETORES!A:A)</f>
        <v>4</v>
      </c>
    </row>
    <row r="40" ht="14.25" customHeight="1">
      <c r="A40" s="17" t="s">
        <v>18</v>
      </c>
      <c r="B40" s="17" t="s">
        <v>25</v>
      </c>
      <c r="C40" s="16">
        <v>50.0</v>
      </c>
      <c r="D40" s="16">
        <v>500.0</v>
      </c>
      <c r="E40" s="17"/>
      <c r="F40" s="25" t="s">
        <v>196</v>
      </c>
      <c r="G40" s="17"/>
      <c r="H40" s="27" t="s">
        <v>130</v>
      </c>
      <c r="I40" s="27">
        <v>39.0</v>
      </c>
      <c r="J40" s="27">
        <f t="array" ref="J40">XLOOKUP(Vaga!$A40,MACROZONAS!B:B,MACROZONAS!A:A)</f>
        <v>4</v>
      </c>
      <c r="K40" s="27">
        <f t="array" ref="K40">XLOOKUP(Vaga!$B40,SETORES!B:B,SETORES!A:A)</f>
        <v>4</v>
      </c>
    </row>
    <row r="41" ht="14.25" customHeight="1">
      <c r="A41" s="17" t="s">
        <v>33</v>
      </c>
      <c r="B41" s="17" t="s">
        <v>25</v>
      </c>
      <c r="C41" s="16">
        <v>50.0</v>
      </c>
      <c r="D41" s="16">
        <v>500.0</v>
      </c>
      <c r="E41" s="17"/>
      <c r="F41" s="25" t="s">
        <v>196</v>
      </c>
      <c r="G41" s="17"/>
      <c r="H41" s="27" t="s">
        <v>130</v>
      </c>
      <c r="I41" s="27">
        <v>40.0</v>
      </c>
      <c r="J41" s="27">
        <f t="array" ref="J41">XLOOKUP(Vaga!$A41,MACROZONAS!B:B,MACROZONAS!A:A)</f>
        <v>1</v>
      </c>
      <c r="K41" s="27">
        <f t="array" ref="K41">XLOOKUP(Vaga!$B41,SETORES!B:B,SETORES!A:A)</f>
        <v>4</v>
      </c>
    </row>
    <row r="42" ht="14.25" customHeight="1">
      <c r="A42" s="17" t="s">
        <v>28</v>
      </c>
      <c r="B42" s="17" t="s">
        <v>25</v>
      </c>
      <c r="C42" s="16">
        <v>50.0</v>
      </c>
      <c r="D42" s="16">
        <v>500.0</v>
      </c>
      <c r="E42" s="17"/>
      <c r="F42" s="25" t="s">
        <v>196</v>
      </c>
      <c r="G42" s="17"/>
      <c r="H42" s="27" t="s">
        <v>130</v>
      </c>
      <c r="I42" s="27">
        <v>41.0</v>
      </c>
      <c r="J42" s="27">
        <f t="array" ref="J42">XLOOKUP(Vaga!$A42,MACROZONAS!B:B,MACROZONAS!A:A)</f>
        <v>2</v>
      </c>
      <c r="K42" s="27">
        <f t="array" ref="K42">XLOOKUP(Vaga!$B42,SETORES!B:B,SETORES!A:A)</f>
        <v>4</v>
      </c>
    </row>
    <row r="43" ht="14.25" customHeight="1">
      <c r="A43" s="17" t="s">
        <v>39</v>
      </c>
      <c r="B43" s="17" t="s">
        <v>25</v>
      </c>
      <c r="C43" s="16"/>
      <c r="D43" s="16"/>
      <c r="E43" s="17"/>
      <c r="F43" s="25" t="s">
        <v>196</v>
      </c>
      <c r="G43" s="17"/>
      <c r="H43" s="27"/>
      <c r="I43" s="27">
        <v>42.0</v>
      </c>
      <c r="J43" s="27">
        <f t="array" ref="J43">XLOOKUP(Vaga!$A43,MACROZONAS!B:B,MACROZONAS!A:A)</f>
        <v>5</v>
      </c>
      <c r="K43" s="27">
        <f t="array" ref="K43">XLOOKUP(Vaga!$B43,SETORES!B:B,SETORES!A:A)</f>
        <v>4</v>
      </c>
    </row>
    <row r="44" ht="14.25" customHeight="1">
      <c r="A44" s="17" t="s">
        <v>29</v>
      </c>
      <c r="B44" s="17" t="s">
        <v>17</v>
      </c>
      <c r="C44" s="16">
        <v>50.0</v>
      </c>
      <c r="D44" s="16">
        <v>500.0</v>
      </c>
      <c r="E44" s="17"/>
      <c r="F44" s="25" t="s">
        <v>196</v>
      </c>
      <c r="G44" s="17"/>
      <c r="H44" s="27" t="s">
        <v>130</v>
      </c>
      <c r="I44" s="27">
        <v>43.0</v>
      </c>
      <c r="J44" s="27">
        <f t="array" ref="J44">XLOOKUP(Vaga!$A44,MACROZONAS!B:B,MACROZONAS!A:A)</f>
        <v>6</v>
      </c>
      <c r="K44" s="27">
        <f t="array" ref="K44">XLOOKUP(Vaga!$B44,SETORES!B:B,SETORES!A:A)</f>
        <v>5</v>
      </c>
    </row>
    <row r="45" ht="14.25" customHeight="1">
      <c r="A45" s="17" t="s">
        <v>43</v>
      </c>
      <c r="B45" s="17" t="s">
        <v>17</v>
      </c>
      <c r="C45" s="16">
        <v>50.0</v>
      </c>
      <c r="D45" s="16">
        <v>500.0</v>
      </c>
      <c r="E45" s="17"/>
      <c r="F45" s="25" t="s">
        <v>196</v>
      </c>
      <c r="G45" s="17"/>
      <c r="H45" s="27" t="s">
        <v>130</v>
      </c>
      <c r="I45" s="27">
        <v>44.0</v>
      </c>
      <c r="J45" s="27">
        <f t="array" ref="J45">XLOOKUP(Vaga!$A45,MACROZONAS!B:B,MACROZONAS!A:A)</f>
        <v>7</v>
      </c>
      <c r="K45" s="27">
        <f t="array" ref="K45">XLOOKUP(Vaga!$B45,SETORES!B:B,SETORES!A:A)</f>
        <v>5</v>
      </c>
    </row>
    <row r="46" ht="14.25" customHeight="1">
      <c r="A46" s="17" t="s">
        <v>42</v>
      </c>
      <c r="B46" s="17" t="s">
        <v>17</v>
      </c>
      <c r="C46" s="16">
        <v>50.0</v>
      </c>
      <c r="D46" s="16">
        <v>500.0</v>
      </c>
      <c r="E46" s="17"/>
      <c r="F46" s="25" t="s">
        <v>196</v>
      </c>
      <c r="G46" s="17"/>
      <c r="H46" s="27" t="s">
        <v>130</v>
      </c>
      <c r="I46" s="27">
        <v>45.0</v>
      </c>
      <c r="J46" s="27">
        <f t="array" ref="J46">XLOOKUP(Vaga!$A46,MACROZONAS!B:B,MACROZONAS!A:A)</f>
        <v>3</v>
      </c>
      <c r="K46" s="27">
        <f t="array" ref="K46">XLOOKUP(Vaga!$B46,SETORES!B:B,SETORES!A:A)</f>
        <v>5</v>
      </c>
    </row>
    <row r="47" ht="14.25" customHeight="1">
      <c r="A47" s="17" t="s">
        <v>18</v>
      </c>
      <c r="B47" s="17" t="s">
        <v>17</v>
      </c>
      <c r="C47" s="16">
        <v>50.0</v>
      </c>
      <c r="D47" s="16">
        <v>500.0</v>
      </c>
      <c r="E47" s="17"/>
      <c r="F47" s="25" t="s">
        <v>196</v>
      </c>
      <c r="G47" s="17"/>
      <c r="H47" s="27" t="s">
        <v>130</v>
      </c>
      <c r="I47" s="27">
        <v>46.0</v>
      </c>
      <c r="J47" s="27">
        <f t="array" ref="J47">XLOOKUP(Vaga!$A47,MACROZONAS!B:B,MACROZONAS!A:A)</f>
        <v>4</v>
      </c>
      <c r="K47" s="27">
        <f t="array" ref="K47">XLOOKUP(Vaga!$B47,SETORES!B:B,SETORES!A:A)</f>
        <v>5</v>
      </c>
    </row>
    <row r="48" ht="14.25" customHeight="1">
      <c r="A48" s="17" t="s">
        <v>33</v>
      </c>
      <c r="B48" s="17" t="s">
        <v>17</v>
      </c>
      <c r="C48" s="16">
        <v>50.0</v>
      </c>
      <c r="D48" s="16">
        <v>500.0</v>
      </c>
      <c r="E48" s="17"/>
      <c r="F48" s="25" t="s">
        <v>196</v>
      </c>
      <c r="G48" s="17"/>
      <c r="H48" s="27" t="s">
        <v>130</v>
      </c>
      <c r="I48" s="27">
        <v>47.0</v>
      </c>
      <c r="J48" s="27">
        <f t="array" ref="J48">XLOOKUP(Vaga!$A48,MACROZONAS!B:B,MACROZONAS!A:A)</f>
        <v>1</v>
      </c>
      <c r="K48" s="27">
        <f t="array" ref="K48">XLOOKUP(Vaga!$B48,SETORES!B:B,SETORES!A:A)</f>
        <v>5</v>
      </c>
    </row>
    <row r="49" ht="14.25" customHeight="1">
      <c r="A49" s="17" t="s">
        <v>28</v>
      </c>
      <c r="B49" s="17" t="s">
        <v>17</v>
      </c>
      <c r="C49" s="16">
        <v>50.0</v>
      </c>
      <c r="D49" s="16">
        <v>500.0</v>
      </c>
      <c r="E49" s="17"/>
      <c r="F49" s="25" t="s">
        <v>196</v>
      </c>
      <c r="G49" s="17"/>
      <c r="H49" s="27" t="s">
        <v>130</v>
      </c>
      <c r="I49" s="27">
        <v>48.0</v>
      </c>
      <c r="J49" s="27">
        <f t="array" ref="J49">XLOOKUP(Vaga!$A49,MACROZONAS!B:B,MACROZONAS!A:A)</f>
        <v>2</v>
      </c>
      <c r="K49" s="27">
        <f t="array" ref="K49">XLOOKUP(Vaga!$B49,SETORES!B:B,SETORES!A:A)</f>
        <v>5</v>
      </c>
    </row>
    <row r="50" ht="14.25" customHeight="1">
      <c r="A50" s="17" t="s">
        <v>39</v>
      </c>
      <c r="B50" s="17" t="s">
        <v>17</v>
      </c>
      <c r="C50" s="16"/>
      <c r="D50" s="16"/>
      <c r="E50" s="17"/>
      <c r="F50" s="25" t="s">
        <v>196</v>
      </c>
      <c r="G50" s="17"/>
      <c r="H50" s="27"/>
      <c r="I50" s="27">
        <v>49.0</v>
      </c>
      <c r="J50" s="27">
        <f t="array" ref="J50">XLOOKUP(Vaga!$A50,MACROZONAS!B:B,MACROZONAS!A:A)</f>
        <v>5</v>
      </c>
      <c r="K50" s="27">
        <f t="array" ref="K50">XLOOKUP(Vaga!$B50,SETORES!B:B,SETORES!A:A)</f>
        <v>5</v>
      </c>
    </row>
    <row r="51" ht="14.25" customHeight="1">
      <c r="A51" s="17" t="s">
        <v>29</v>
      </c>
      <c r="B51" s="17" t="s">
        <v>121</v>
      </c>
      <c r="C51" s="16">
        <v>50.0</v>
      </c>
      <c r="D51" s="16">
        <v>500.0</v>
      </c>
      <c r="E51" s="17"/>
      <c r="F51" s="25" t="s">
        <v>196</v>
      </c>
      <c r="G51" s="17"/>
      <c r="H51" s="27" t="s">
        <v>130</v>
      </c>
      <c r="I51" s="27">
        <v>50.0</v>
      </c>
      <c r="J51" s="27">
        <f t="array" ref="J51">XLOOKUP(Vaga!$A51,MACROZONAS!B:B,MACROZONAS!A:A)</f>
        <v>6</v>
      </c>
      <c r="K51" s="27">
        <f t="array" ref="K51">XLOOKUP(Vaga!$B51,SETORES!B:B,SETORES!A:A)</f>
        <v>6</v>
      </c>
    </row>
    <row r="52" ht="14.25" customHeight="1">
      <c r="A52" s="17" t="s">
        <v>43</v>
      </c>
      <c r="B52" s="17" t="s">
        <v>121</v>
      </c>
      <c r="C52" s="16">
        <v>50.0</v>
      </c>
      <c r="D52" s="16">
        <v>500.0</v>
      </c>
      <c r="E52" s="17"/>
      <c r="F52" s="25" t="s">
        <v>196</v>
      </c>
      <c r="G52" s="17"/>
      <c r="H52" s="27" t="s">
        <v>130</v>
      </c>
      <c r="I52" s="27">
        <v>51.0</v>
      </c>
      <c r="J52" s="27">
        <f t="array" ref="J52">XLOOKUP(Vaga!$A52,MACROZONAS!B:B,MACROZONAS!A:A)</f>
        <v>7</v>
      </c>
      <c r="K52" s="27">
        <f t="array" ref="K52">XLOOKUP(Vaga!$B52,SETORES!B:B,SETORES!A:A)</f>
        <v>6</v>
      </c>
    </row>
    <row r="53" ht="14.25" customHeight="1">
      <c r="A53" s="17" t="s">
        <v>42</v>
      </c>
      <c r="B53" s="17" t="s">
        <v>121</v>
      </c>
      <c r="C53" s="16">
        <v>50.0</v>
      </c>
      <c r="D53" s="16">
        <v>500.0</v>
      </c>
      <c r="E53" s="17"/>
      <c r="F53" s="25" t="s">
        <v>196</v>
      </c>
      <c r="G53" s="17"/>
      <c r="H53" s="27" t="s">
        <v>130</v>
      </c>
      <c r="I53" s="27">
        <v>52.0</v>
      </c>
      <c r="J53" s="27">
        <f t="array" ref="J53">XLOOKUP(Vaga!$A53,MACROZONAS!B:B,MACROZONAS!A:A)</f>
        <v>3</v>
      </c>
      <c r="K53" s="27">
        <f t="array" ref="K53">XLOOKUP(Vaga!$B53,SETORES!B:B,SETORES!A:A)</f>
        <v>6</v>
      </c>
    </row>
    <row r="54" ht="14.25" customHeight="1">
      <c r="A54" s="17" t="s">
        <v>18</v>
      </c>
      <c r="B54" s="17" t="s">
        <v>121</v>
      </c>
      <c r="C54" s="16">
        <v>50.0</v>
      </c>
      <c r="D54" s="16">
        <v>500.0</v>
      </c>
      <c r="E54" s="17"/>
      <c r="F54" s="25" t="s">
        <v>196</v>
      </c>
      <c r="G54" s="17"/>
      <c r="H54" s="27" t="s">
        <v>130</v>
      </c>
      <c r="I54" s="27">
        <v>53.0</v>
      </c>
      <c r="J54" s="27">
        <f t="array" ref="J54">XLOOKUP(Vaga!$A54,MACROZONAS!B:B,MACROZONAS!A:A)</f>
        <v>4</v>
      </c>
      <c r="K54" s="27">
        <f t="array" ref="K54">XLOOKUP(Vaga!$B54,SETORES!B:B,SETORES!A:A)</f>
        <v>6</v>
      </c>
    </row>
    <row r="55" ht="14.25" customHeight="1">
      <c r="A55" s="17" t="s">
        <v>33</v>
      </c>
      <c r="B55" s="17" t="s">
        <v>121</v>
      </c>
      <c r="C55" s="16">
        <v>50.0</v>
      </c>
      <c r="D55" s="16">
        <v>500.0</v>
      </c>
      <c r="E55" s="17"/>
      <c r="F55" s="25" t="s">
        <v>196</v>
      </c>
      <c r="G55" s="17"/>
      <c r="H55" s="27" t="s">
        <v>130</v>
      </c>
      <c r="I55" s="27">
        <v>54.0</v>
      </c>
      <c r="J55" s="27">
        <f t="array" ref="J55">XLOOKUP(Vaga!$A55,MACROZONAS!B:B,MACROZONAS!A:A)</f>
        <v>1</v>
      </c>
      <c r="K55" s="27">
        <f t="array" ref="K55">XLOOKUP(Vaga!$B55,SETORES!B:B,SETORES!A:A)</f>
        <v>6</v>
      </c>
    </row>
    <row r="56" ht="14.25" customHeight="1">
      <c r="A56" s="17" t="s">
        <v>28</v>
      </c>
      <c r="B56" s="17" t="s">
        <v>121</v>
      </c>
      <c r="C56" s="16">
        <v>50.0</v>
      </c>
      <c r="D56" s="16">
        <v>500.0</v>
      </c>
      <c r="E56" s="17"/>
      <c r="F56" s="25" t="s">
        <v>196</v>
      </c>
      <c r="G56" s="17"/>
      <c r="H56" s="27" t="s">
        <v>130</v>
      </c>
      <c r="I56" s="27">
        <v>55.0</v>
      </c>
      <c r="J56" s="27">
        <f t="array" ref="J56">XLOOKUP(Vaga!$A56,MACROZONAS!B:B,MACROZONAS!A:A)</f>
        <v>2</v>
      </c>
      <c r="K56" s="27">
        <f t="array" ref="K56">XLOOKUP(Vaga!$B56,SETORES!B:B,SETORES!A:A)</f>
        <v>6</v>
      </c>
    </row>
    <row r="57" ht="14.25" customHeight="1">
      <c r="A57" s="17" t="s">
        <v>39</v>
      </c>
      <c r="B57" s="17" t="s">
        <v>121</v>
      </c>
      <c r="C57" s="16"/>
      <c r="D57" s="16"/>
      <c r="E57" s="17"/>
      <c r="F57" s="25" t="s">
        <v>196</v>
      </c>
      <c r="G57" s="17"/>
      <c r="H57" s="27"/>
      <c r="I57" s="27">
        <v>56.0</v>
      </c>
      <c r="J57" s="27">
        <f t="array" ref="J57">XLOOKUP(Vaga!$A57,MACROZONAS!B:B,MACROZONAS!A:A)</f>
        <v>5</v>
      </c>
      <c r="K57" s="27">
        <f t="array" ref="K57">XLOOKUP(Vaga!$B57,SETORES!B:B,SETORES!A:A)</f>
        <v>6</v>
      </c>
    </row>
    <row r="58" ht="14.25" customHeight="1">
      <c r="A58" s="17" t="s">
        <v>29</v>
      </c>
      <c r="B58" s="17" t="s">
        <v>37</v>
      </c>
      <c r="C58" s="16">
        <v>50.0</v>
      </c>
      <c r="D58" s="16">
        <v>500.0</v>
      </c>
      <c r="E58" s="17"/>
      <c r="F58" s="25" t="s">
        <v>196</v>
      </c>
      <c r="G58" s="17"/>
      <c r="H58" s="27" t="s">
        <v>130</v>
      </c>
      <c r="I58" s="27">
        <v>57.0</v>
      </c>
      <c r="J58" s="27">
        <f t="array" ref="J58">XLOOKUP(Vaga!$A58,MACROZONAS!B:B,MACROZONAS!A:A)</f>
        <v>6</v>
      </c>
      <c r="K58" s="27">
        <f t="array" ref="K58">XLOOKUP(Vaga!$B58,SETORES!B:B,SETORES!A:A)</f>
        <v>7</v>
      </c>
    </row>
    <row r="59" ht="14.25" customHeight="1">
      <c r="A59" s="17" t="s">
        <v>43</v>
      </c>
      <c r="B59" s="17" t="s">
        <v>37</v>
      </c>
      <c r="C59" s="16">
        <v>50.0</v>
      </c>
      <c r="D59" s="16">
        <v>500.0</v>
      </c>
      <c r="E59" s="17"/>
      <c r="F59" s="25" t="s">
        <v>196</v>
      </c>
      <c r="G59" s="17"/>
      <c r="H59" s="27" t="s">
        <v>130</v>
      </c>
      <c r="I59" s="27">
        <v>58.0</v>
      </c>
      <c r="J59" s="27">
        <f t="array" ref="J59">XLOOKUP(Vaga!$A59,MACROZONAS!B:B,MACROZONAS!A:A)</f>
        <v>7</v>
      </c>
      <c r="K59" s="27">
        <f t="array" ref="K59">XLOOKUP(Vaga!$B59,SETORES!B:B,SETORES!A:A)</f>
        <v>7</v>
      </c>
    </row>
    <row r="60" ht="14.25" customHeight="1">
      <c r="A60" s="17" t="s">
        <v>42</v>
      </c>
      <c r="B60" s="17" t="s">
        <v>37</v>
      </c>
      <c r="C60" s="16">
        <v>50.0</v>
      </c>
      <c r="D60" s="16">
        <v>500.0</v>
      </c>
      <c r="E60" s="17"/>
      <c r="F60" s="25" t="s">
        <v>196</v>
      </c>
      <c r="G60" s="17"/>
      <c r="H60" s="27" t="s">
        <v>130</v>
      </c>
      <c r="I60" s="27">
        <v>59.0</v>
      </c>
      <c r="J60" s="27">
        <f t="array" ref="J60">XLOOKUP(Vaga!$A60,MACROZONAS!B:B,MACROZONAS!A:A)</f>
        <v>3</v>
      </c>
      <c r="K60" s="27">
        <f t="array" ref="K60">XLOOKUP(Vaga!$B60,SETORES!B:B,SETORES!A:A)</f>
        <v>7</v>
      </c>
    </row>
    <row r="61" ht="14.25" customHeight="1">
      <c r="A61" s="17" t="s">
        <v>18</v>
      </c>
      <c r="B61" s="17" t="s">
        <v>37</v>
      </c>
      <c r="C61" s="16">
        <v>50.0</v>
      </c>
      <c r="D61" s="16">
        <v>500.0</v>
      </c>
      <c r="E61" s="17"/>
      <c r="F61" s="25" t="s">
        <v>196</v>
      </c>
      <c r="G61" s="17"/>
      <c r="H61" s="27" t="s">
        <v>130</v>
      </c>
      <c r="I61" s="27">
        <v>60.0</v>
      </c>
      <c r="J61" s="27">
        <f t="array" ref="J61">XLOOKUP(Vaga!$A61,MACROZONAS!B:B,MACROZONAS!A:A)</f>
        <v>4</v>
      </c>
      <c r="K61" s="27">
        <f t="array" ref="K61">XLOOKUP(Vaga!$B61,SETORES!B:B,SETORES!A:A)</f>
        <v>7</v>
      </c>
    </row>
    <row r="62" ht="14.25" customHeight="1">
      <c r="A62" s="17" t="s">
        <v>33</v>
      </c>
      <c r="B62" s="17" t="s">
        <v>37</v>
      </c>
      <c r="C62" s="16">
        <v>50.0</v>
      </c>
      <c r="D62" s="16">
        <v>500.0</v>
      </c>
      <c r="E62" s="17"/>
      <c r="F62" s="25" t="s">
        <v>196</v>
      </c>
      <c r="G62" s="17"/>
      <c r="H62" s="27" t="s">
        <v>130</v>
      </c>
      <c r="I62" s="27">
        <v>61.0</v>
      </c>
      <c r="J62" s="27">
        <f t="array" ref="J62">XLOOKUP(Vaga!$A62,MACROZONAS!B:B,MACROZONAS!A:A)</f>
        <v>1</v>
      </c>
      <c r="K62" s="27">
        <f t="array" ref="K62">XLOOKUP(Vaga!$B62,SETORES!B:B,SETORES!A:A)</f>
        <v>7</v>
      </c>
    </row>
    <row r="63" ht="14.25" customHeight="1">
      <c r="A63" s="17" t="s">
        <v>28</v>
      </c>
      <c r="B63" s="17" t="s">
        <v>37</v>
      </c>
      <c r="C63" s="16">
        <v>50.0</v>
      </c>
      <c r="D63" s="16">
        <v>500.0</v>
      </c>
      <c r="E63" s="17"/>
      <c r="F63" s="25" t="s">
        <v>196</v>
      </c>
      <c r="G63" s="17"/>
      <c r="H63" s="27" t="s">
        <v>130</v>
      </c>
      <c r="I63" s="27">
        <v>62.0</v>
      </c>
      <c r="J63" s="27">
        <f t="array" ref="J63">XLOOKUP(Vaga!$A63,MACROZONAS!B:B,MACROZONAS!A:A)</f>
        <v>2</v>
      </c>
      <c r="K63" s="27">
        <f t="array" ref="K63">XLOOKUP(Vaga!$B63,SETORES!B:B,SETORES!A:A)</f>
        <v>7</v>
      </c>
    </row>
    <row r="64" ht="14.25" customHeight="1">
      <c r="A64" s="17" t="s">
        <v>39</v>
      </c>
      <c r="B64" s="17" t="s">
        <v>37</v>
      </c>
      <c r="C64" s="16"/>
      <c r="D64" s="16"/>
      <c r="E64" s="17"/>
      <c r="F64" s="25" t="s">
        <v>196</v>
      </c>
      <c r="G64" s="17"/>
      <c r="H64" s="27"/>
      <c r="I64" s="27">
        <v>63.0</v>
      </c>
      <c r="J64" s="27">
        <f t="array" ref="J64">XLOOKUP(Vaga!$A64,MACROZONAS!B:B,MACROZONAS!A:A)</f>
        <v>5</v>
      </c>
      <c r="K64" s="27">
        <f t="array" ref="K64">XLOOKUP(Vaga!$B64,SETORES!B:B,SETORES!A:A)</f>
        <v>7</v>
      </c>
    </row>
    <row r="65" ht="14.25" customHeight="1">
      <c r="A65" s="17" t="s">
        <v>29</v>
      </c>
      <c r="B65" s="17" t="s">
        <v>36</v>
      </c>
      <c r="C65" s="16">
        <v>50.0</v>
      </c>
      <c r="D65" s="16">
        <v>500.0</v>
      </c>
      <c r="E65" s="17"/>
      <c r="F65" s="25" t="s">
        <v>196</v>
      </c>
      <c r="G65" s="17"/>
      <c r="H65" s="27" t="s">
        <v>130</v>
      </c>
      <c r="I65" s="27">
        <v>64.0</v>
      </c>
      <c r="J65" s="27">
        <f t="array" ref="J65">XLOOKUP(Vaga!$A65,MACROZONAS!B:B,MACROZONAS!A:A)</f>
        <v>6</v>
      </c>
      <c r="K65" s="27">
        <f t="array" ref="K65">XLOOKUP(Vaga!$B65,SETORES!B:B,SETORES!A:A)</f>
        <v>8</v>
      </c>
    </row>
    <row r="66" ht="14.25" customHeight="1">
      <c r="A66" s="17" t="s">
        <v>43</v>
      </c>
      <c r="B66" s="17" t="s">
        <v>36</v>
      </c>
      <c r="C66" s="16">
        <v>50.0</v>
      </c>
      <c r="D66" s="16">
        <v>500.0</v>
      </c>
      <c r="E66" s="17"/>
      <c r="F66" s="25" t="s">
        <v>196</v>
      </c>
      <c r="G66" s="17"/>
      <c r="H66" s="27" t="s">
        <v>130</v>
      </c>
      <c r="I66" s="27">
        <v>65.0</v>
      </c>
      <c r="J66" s="27">
        <f t="array" ref="J66">XLOOKUP(Vaga!$A66,MACROZONAS!B:B,MACROZONAS!A:A)</f>
        <v>7</v>
      </c>
      <c r="K66" s="27">
        <f t="array" ref="K66">XLOOKUP(Vaga!$B66,SETORES!B:B,SETORES!A:A)</f>
        <v>8</v>
      </c>
    </row>
    <row r="67" ht="14.25" customHeight="1">
      <c r="A67" s="17" t="s">
        <v>42</v>
      </c>
      <c r="B67" s="17" t="s">
        <v>36</v>
      </c>
      <c r="C67" s="16">
        <v>50.0</v>
      </c>
      <c r="D67" s="16">
        <v>500.0</v>
      </c>
      <c r="E67" s="17"/>
      <c r="F67" s="25" t="s">
        <v>196</v>
      </c>
      <c r="G67" s="17"/>
      <c r="H67" s="27" t="s">
        <v>130</v>
      </c>
      <c r="I67" s="27">
        <v>66.0</v>
      </c>
      <c r="J67" s="27">
        <f t="array" ref="J67">XLOOKUP(Vaga!$A67,MACROZONAS!B:B,MACROZONAS!A:A)</f>
        <v>3</v>
      </c>
      <c r="K67" s="27">
        <f t="array" ref="K67">XLOOKUP(Vaga!$B67,SETORES!B:B,SETORES!A:A)</f>
        <v>8</v>
      </c>
    </row>
    <row r="68" ht="14.25" customHeight="1">
      <c r="A68" s="17" t="s">
        <v>18</v>
      </c>
      <c r="B68" s="17" t="s">
        <v>36</v>
      </c>
      <c r="C68" s="16">
        <v>50.0</v>
      </c>
      <c r="D68" s="16">
        <v>500.0</v>
      </c>
      <c r="E68" s="17"/>
      <c r="F68" s="25" t="s">
        <v>196</v>
      </c>
      <c r="G68" s="17"/>
      <c r="H68" s="27" t="s">
        <v>130</v>
      </c>
      <c r="I68" s="27">
        <v>67.0</v>
      </c>
      <c r="J68" s="27">
        <f t="array" ref="J68">XLOOKUP(Vaga!$A68,MACROZONAS!B:B,MACROZONAS!A:A)</f>
        <v>4</v>
      </c>
      <c r="K68" s="27">
        <f t="array" ref="K68">XLOOKUP(Vaga!$B68,SETORES!B:B,SETORES!A:A)</f>
        <v>8</v>
      </c>
    </row>
    <row r="69" ht="14.25" customHeight="1">
      <c r="A69" s="17" t="s">
        <v>33</v>
      </c>
      <c r="B69" s="17" t="s">
        <v>36</v>
      </c>
      <c r="C69" s="16">
        <v>50.0</v>
      </c>
      <c r="D69" s="16">
        <v>500.0</v>
      </c>
      <c r="E69" s="17"/>
      <c r="F69" s="25" t="s">
        <v>196</v>
      </c>
      <c r="G69" s="17"/>
      <c r="H69" s="27" t="s">
        <v>130</v>
      </c>
      <c r="I69" s="27">
        <v>68.0</v>
      </c>
      <c r="J69" s="27">
        <f t="array" ref="J69">XLOOKUP(Vaga!$A69,MACROZONAS!B:B,MACROZONAS!A:A)</f>
        <v>1</v>
      </c>
      <c r="K69" s="27">
        <f t="array" ref="K69">XLOOKUP(Vaga!$B69,SETORES!B:B,SETORES!A:A)</f>
        <v>8</v>
      </c>
    </row>
    <row r="70" ht="14.25" customHeight="1">
      <c r="A70" s="17" t="s">
        <v>28</v>
      </c>
      <c r="B70" s="17" t="s">
        <v>36</v>
      </c>
      <c r="C70" s="16">
        <v>50.0</v>
      </c>
      <c r="D70" s="16">
        <v>500.0</v>
      </c>
      <c r="E70" s="17"/>
      <c r="F70" s="25" t="s">
        <v>196</v>
      </c>
      <c r="G70" s="17"/>
      <c r="H70" s="27" t="s">
        <v>130</v>
      </c>
      <c r="I70" s="27">
        <v>69.0</v>
      </c>
      <c r="J70" s="27">
        <f t="array" ref="J70">XLOOKUP(Vaga!$A70,MACROZONAS!B:B,MACROZONAS!A:A)</f>
        <v>2</v>
      </c>
      <c r="K70" s="27">
        <f t="array" ref="K70">XLOOKUP(Vaga!$B70,SETORES!B:B,SETORES!A:A)</f>
        <v>8</v>
      </c>
    </row>
    <row r="71" ht="14.25" customHeight="1">
      <c r="A71" s="17" t="s">
        <v>39</v>
      </c>
      <c r="B71" s="17" t="s">
        <v>36</v>
      </c>
      <c r="C71" s="16"/>
      <c r="D71" s="16"/>
      <c r="E71" s="17"/>
      <c r="F71" s="25" t="s">
        <v>196</v>
      </c>
      <c r="G71" s="17"/>
      <c r="H71" s="27"/>
      <c r="I71" s="27">
        <v>70.0</v>
      </c>
      <c r="J71" s="27">
        <f t="array" ref="J71">XLOOKUP(Vaga!$A71,MACROZONAS!B:B,MACROZONAS!A:A)</f>
        <v>5</v>
      </c>
      <c r="K71" s="27">
        <f t="array" ref="K71">XLOOKUP(Vaga!$B71,SETORES!B:B,SETORES!A:A)</f>
        <v>8</v>
      </c>
    </row>
    <row r="72" ht="14.25" customHeight="1">
      <c r="A72" s="17" t="s">
        <v>29</v>
      </c>
      <c r="B72" s="17" t="s">
        <v>15</v>
      </c>
      <c r="C72" s="16">
        <v>50.0</v>
      </c>
      <c r="D72" s="16">
        <v>500.0</v>
      </c>
      <c r="E72" s="17"/>
      <c r="F72" s="25" t="s">
        <v>196</v>
      </c>
      <c r="G72" s="17"/>
      <c r="H72" s="27" t="s">
        <v>130</v>
      </c>
      <c r="I72" s="27">
        <v>71.0</v>
      </c>
      <c r="J72" s="27">
        <f t="array" ref="J72">XLOOKUP(Vaga!$A72,MACROZONAS!B:B,MACROZONAS!A:A)</f>
        <v>6</v>
      </c>
      <c r="K72" s="27">
        <f t="array" ref="K72">XLOOKUP(Vaga!$B72,SETORES!B:B,SETORES!A:A)</f>
        <v>9</v>
      </c>
    </row>
    <row r="73" ht="14.25" customHeight="1">
      <c r="A73" s="17" t="s">
        <v>43</v>
      </c>
      <c r="B73" s="17" t="s">
        <v>15</v>
      </c>
      <c r="C73" s="16">
        <v>50.0</v>
      </c>
      <c r="D73" s="16">
        <v>500.0</v>
      </c>
      <c r="E73" s="17"/>
      <c r="F73" s="25" t="s">
        <v>196</v>
      </c>
      <c r="G73" s="17"/>
      <c r="H73" s="27" t="s">
        <v>130</v>
      </c>
      <c r="I73" s="27">
        <v>72.0</v>
      </c>
      <c r="J73" s="27">
        <f t="array" ref="J73">XLOOKUP(Vaga!$A73,MACROZONAS!B:B,MACROZONAS!A:A)</f>
        <v>7</v>
      </c>
      <c r="K73" s="27">
        <f t="array" ref="K73">XLOOKUP(Vaga!$B73,SETORES!B:B,SETORES!A:A)</f>
        <v>9</v>
      </c>
    </row>
    <row r="74" ht="14.25" customHeight="1">
      <c r="A74" s="17" t="s">
        <v>42</v>
      </c>
      <c r="B74" s="17" t="s">
        <v>15</v>
      </c>
      <c r="C74" s="16">
        <v>50.0</v>
      </c>
      <c r="D74" s="16">
        <v>500.0</v>
      </c>
      <c r="E74" s="17"/>
      <c r="F74" s="25" t="s">
        <v>196</v>
      </c>
      <c r="G74" s="17"/>
      <c r="H74" s="27" t="s">
        <v>130</v>
      </c>
      <c r="I74" s="27">
        <v>73.0</v>
      </c>
      <c r="J74" s="27">
        <f t="array" ref="J74">XLOOKUP(Vaga!$A74,MACROZONAS!B:B,MACROZONAS!A:A)</f>
        <v>3</v>
      </c>
      <c r="K74" s="27">
        <f t="array" ref="K74">XLOOKUP(Vaga!$B74,SETORES!B:B,SETORES!A:A)</f>
        <v>9</v>
      </c>
    </row>
    <row r="75" ht="14.25" customHeight="1">
      <c r="A75" s="17" t="s">
        <v>18</v>
      </c>
      <c r="B75" s="17" t="s">
        <v>15</v>
      </c>
      <c r="C75" s="16">
        <v>50.0</v>
      </c>
      <c r="D75" s="16">
        <v>500.0</v>
      </c>
      <c r="E75" s="17"/>
      <c r="F75" s="25" t="s">
        <v>196</v>
      </c>
      <c r="G75" s="17"/>
      <c r="H75" s="27" t="s">
        <v>130</v>
      </c>
      <c r="I75" s="27">
        <v>74.0</v>
      </c>
      <c r="J75" s="27">
        <f t="array" ref="J75">XLOOKUP(Vaga!$A75,MACROZONAS!B:B,MACROZONAS!A:A)</f>
        <v>4</v>
      </c>
      <c r="K75" s="27">
        <f t="array" ref="K75">XLOOKUP(Vaga!$B75,SETORES!B:B,SETORES!A:A)</f>
        <v>9</v>
      </c>
    </row>
    <row r="76" ht="14.25" customHeight="1">
      <c r="A76" s="17" t="s">
        <v>33</v>
      </c>
      <c r="B76" s="17" t="s">
        <v>15</v>
      </c>
      <c r="C76" s="16">
        <v>50.0</v>
      </c>
      <c r="D76" s="16">
        <v>500.0</v>
      </c>
      <c r="E76" s="17"/>
      <c r="F76" s="25" t="s">
        <v>196</v>
      </c>
      <c r="G76" s="17"/>
      <c r="H76" s="27" t="s">
        <v>130</v>
      </c>
      <c r="I76" s="27">
        <v>75.0</v>
      </c>
      <c r="J76" s="27">
        <f t="array" ref="J76">XLOOKUP(Vaga!$A76,MACROZONAS!B:B,MACROZONAS!A:A)</f>
        <v>1</v>
      </c>
      <c r="K76" s="27">
        <f t="array" ref="K76">XLOOKUP(Vaga!$B76,SETORES!B:B,SETORES!A:A)</f>
        <v>9</v>
      </c>
    </row>
    <row r="77" ht="14.25" customHeight="1">
      <c r="A77" s="17" t="s">
        <v>28</v>
      </c>
      <c r="B77" s="17" t="s">
        <v>15</v>
      </c>
      <c r="C77" s="16">
        <v>50.0</v>
      </c>
      <c r="D77" s="16">
        <v>500.0</v>
      </c>
      <c r="E77" s="17"/>
      <c r="F77" s="25" t="s">
        <v>196</v>
      </c>
      <c r="G77" s="17"/>
      <c r="H77" s="27" t="s">
        <v>130</v>
      </c>
      <c r="I77" s="27">
        <v>76.0</v>
      </c>
      <c r="J77" s="27">
        <f t="array" ref="J77">XLOOKUP(Vaga!$A77,MACROZONAS!B:B,MACROZONAS!A:A)</f>
        <v>2</v>
      </c>
      <c r="K77" s="27">
        <f t="array" ref="K77">XLOOKUP(Vaga!$B77,SETORES!B:B,SETORES!A:A)</f>
        <v>9</v>
      </c>
    </row>
    <row r="78" ht="14.25" customHeight="1">
      <c r="A78" s="17" t="s">
        <v>39</v>
      </c>
      <c r="B78" s="17" t="s">
        <v>15</v>
      </c>
      <c r="C78" s="16"/>
      <c r="D78" s="16"/>
      <c r="E78" s="17"/>
      <c r="F78" s="25" t="s">
        <v>196</v>
      </c>
      <c r="G78" s="17"/>
      <c r="H78" s="27"/>
      <c r="I78" s="27">
        <v>77.0</v>
      </c>
      <c r="J78" s="27">
        <f t="array" ref="J78">XLOOKUP(Vaga!$A78,MACROZONAS!B:B,MACROZONAS!A:A)</f>
        <v>5</v>
      </c>
      <c r="K78" s="27">
        <f t="array" ref="K78">XLOOKUP(Vaga!$B78,SETORES!B:B,SETORES!A:A)</f>
        <v>9</v>
      </c>
    </row>
    <row r="79" ht="14.25" customHeight="1">
      <c r="A79" s="17" t="s">
        <v>29</v>
      </c>
      <c r="B79" s="17" t="s">
        <v>38</v>
      </c>
      <c r="C79" s="16">
        <v>50.0</v>
      </c>
      <c r="D79" s="16">
        <v>500.0</v>
      </c>
      <c r="E79" s="17"/>
      <c r="F79" s="25" t="s">
        <v>196</v>
      </c>
      <c r="G79" s="17"/>
      <c r="H79" s="27" t="s">
        <v>130</v>
      </c>
      <c r="I79" s="27">
        <v>78.0</v>
      </c>
      <c r="J79" s="27">
        <f t="array" ref="J79">XLOOKUP(Vaga!$A79,MACROZONAS!B:B,MACROZONAS!A:A)</f>
        <v>6</v>
      </c>
      <c r="K79" s="27">
        <f t="array" ref="K79">XLOOKUP(Vaga!$B79,SETORES!B:B,SETORES!A:A)</f>
        <v>10</v>
      </c>
    </row>
    <row r="80" ht="14.25" customHeight="1">
      <c r="A80" s="17" t="s">
        <v>43</v>
      </c>
      <c r="B80" s="17" t="s">
        <v>38</v>
      </c>
      <c r="C80" s="16">
        <v>50.0</v>
      </c>
      <c r="D80" s="16">
        <v>500.0</v>
      </c>
      <c r="E80" s="17"/>
      <c r="F80" s="25" t="s">
        <v>196</v>
      </c>
      <c r="G80" s="17"/>
      <c r="H80" s="27" t="s">
        <v>130</v>
      </c>
      <c r="I80" s="27">
        <v>79.0</v>
      </c>
      <c r="J80" s="27">
        <f t="array" ref="J80">XLOOKUP(Vaga!$A80,MACROZONAS!B:B,MACROZONAS!A:A)</f>
        <v>7</v>
      </c>
      <c r="K80" s="27">
        <f t="array" ref="K80">XLOOKUP(Vaga!$B80,SETORES!B:B,SETORES!A:A)</f>
        <v>10</v>
      </c>
    </row>
    <row r="81" ht="14.25" customHeight="1">
      <c r="A81" s="17" t="s">
        <v>42</v>
      </c>
      <c r="B81" s="17" t="s">
        <v>38</v>
      </c>
      <c r="C81" s="16">
        <v>50.0</v>
      </c>
      <c r="D81" s="16">
        <v>500.0</v>
      </c>
      <c r="E81" s="17"/>
      <c r="F81" s="25" t="s">
        <v>196</v>
      </c>
      <c r="G81" s="17"/>
      <c r="H81" s="27" t="s">
        <v>130</v>
      </c>
      <c r="I81" s="27">
        <v>80.0</v>
      </c>
      <c r="J81" s="27">
        <f t="array" ref="J81">XLOOKUP(Vaga!$A81,MACROZONAS!B:B,MACROZONAS!A:A)</f>
        <v>3</v>
      </c>
      <c r="K81" s="27">
        <f t="array" ref="K81">XLOOKUP(Vaga!$B81,SETORES!B:B,SETORES!A:A)</f>
        <v>10</v>
      </c>
    </row>
    <row r="82" ht="14.25" customHeight="1">
      <c r="A82" s="17" t="s">
        <v>18</v>
      </c>
      <c r="B82" s="17" t="s">
        <v>38</v>
      </c>
      <c r="C82" s="16">
        <v>50.0</v>
      </c>
      <c r="D82" s="16">
        <v>500.0</v>
      </c>
      <c r="E82" s="17"/>
      <c r="F82" s="25" t="s">
        <v>196</v>
      </c>
      <c r="G82" s="17"/>
      <c r="H82" s="27" t="s">
        <v>130</v>
      </c>
      <c r="I82" s="27">
        <v>81.0</v>
      </c>
      <c r="J82" s="27">
        <f t="array" ref="J82">XLOOKUP(Vaga!$A82,MACROZONAS!B:B,MACROZONAS!A:A)</f>
        <v>4</v>
      </c>
      <c r="K82" s="27">
        <f t="array" ref="K82">XLOOKUP(Vaga!$B82,SETORES!B:B,SETORES!A:A)</f>
        <v>10</v>
      </c>
    </row>
    <row r="83" ht="14.25" customHeight="1">
      <c r="A83" s="17" t="s">
        <v>33</v>
      </c>
      <c r="B83" s="17" t="s">
        <v>38</v>
      </c>
      <c r="C83" s="16">
        <v>50.0</v>
      </c>
      <c r="D83" s="16">
        <v>500.0</v>
      </c>
      <c r="E83" s="17"/>
      <c r="F83" s="25" t="s">
        <v>196</v>
      </c>
      <c r="G83" s="17"/>
      <c r="H83" s="27" t="s">
        <v>130</v>
      </c>
      <c r="I83" s="27">
        <v>82.0</v>
      </c>
      <c r="J83" s="27">
        <f t="array" ref="J83">XLOOKUP(Vaga!$A83,MACROZONAS!B:B,MACROZONAS!A:A)</f>
        <v>1</v>
      </c>
      <c r="K83" s="27">
        <f t="array" ref="K83">XLOOKUP(Vaga!$B83,SETORES!B:B,SETORES!A:A)</f>
        <v>10</v>
      </c>
    </row>
    <row r="84" ht="14.25" customHeight="1">
      <c r="A84" s="17" t="s">
        <v>28</v>
      </c>
      <c r="B84" s="17" t="s">
        <v>38</v>
      </c>
      <c r="C84" s="16">
        <v>50.0</v>
      </c>
      <c r="D84" s="16">
        <v>500.0</v>
      </c>
      <c r="E84" s="17"/>
      <c r="F84" s="25" t="s">
        <v>196</v>
      </c>
      <c r="G84" s="17"/>
      <c r="H84" s="27" t="s">
        <v>130</v>
      </c>
      <c r="I84" s="27">
        <v>83.0</v>
      </c>
      <c r="J84" s="27">
        <f t="array" ref="J84">XLOOKUP(Vaga!$A84,MACROZONAS!B:B,MACROZONAS!A:A)</f>
        <v>2</v>
      </c>
      <c r="K84" s="27">
        <f t="array" ref="K84">XLOOKUP(Vaga!$B84,SETORES!B:B,SETORES!A:A)</f>
        <v>10</v>
      </c>
    </row>
    <row r="85" ht="14.25" customHeight="1">
      <c r="A85" s="17" t="s">
        <v>39</v>
      </c>
      <c r="B85" s="17" t="s">
        <v>38</v>
      </c>
      <c r="C85" s="16"/>
      <c r="D85" s="16"/>
      <c r="E85" s="17"/>
      <c r="F85" s="25" t="s">
        <v>196</v>
      </c>
      <c r="G85" s="17"/>
      <c r="H85" s="27"/>
      <c r="I85" s="27">
        <v>84.0</v>
      </c>
      <c r="J85" s="27">
        <f t="array" ref="J85">XLOOKUP(Vaga!$A85,MACROZONAS!B:B,MACROZONAS!A:A)</f>
        <v>5</v>
      </c>
      <c r="K85" s="27">
        <f t="array" ref="K85">XLOOKUP(Vaga!$B85,SETORES!B:B,SETORES!A:A)</f>
        <v>10</v>
      </c>
    </row>
    <row r="86" ht="14.25" customHeight="1">
      <c r="A86" s="17" t="s">
        <v>29</v>
      </c>
      <c r="B86" s="17" t="s">
        <v>40</v>
      </c>
      <c r="C86" s="16">
        <v>50.0</v>
      </c>
      <c r="D86" s="16">
        <v>500.0</v>
      </c>
      <c r="E86" s="17"/>
      <c r="F86" s="25" t="s">
        <v>196</v>
      </c>
      <c r="G86" s="17"/>
      <c r="H86" s="27" t="s">
        <v>130</v>
      </c>
      <c r="I86" s="27">
        <v>85.0</v>
      </c>
      <c r="J86" s="27">
        <f t="array" ref="J86">XLOOKUP(Vaga!$A86,MACROZONAS!B:B,MACROZONAS!A:A)</f>
        <v>6</v>
      </c>
      <c r="K86" s="27">
        <f t="array" ref="K86">XLOOKUP(Vaga!$B86,SETORES!B:B,SETORES!A:A)</f>
        <v>11</v>
      </c>
    </row>
    <row r="87" ht="14.25" customHeight="1">
      <c r="A87" s="17" t="s">
        <v>43</v>
      </c>
      <c r="B87" s="17" t="s">
        <v>40</v>
      </c>
      <c r="C87" s="16">
        <v>50.0</v>
      </c>
      <c r="D87" s="16">
        <v>500.0</v>
      </c>
      <c r="E87" s="17"/>
      <c r="F87" s="25" t="s">
        <v>196</v>
      </c>
      <c r="G87" s="17"/>
      <c r="H87" s="27" t="s">
        <v>130</v>
      </c>
      <c r="I87" s="27">
        <v>86.0</v>
      </c>
      <c r="J87" s="27">
        <f t="array" ref="J87">XLOOKUP(Vaga!$A87,MACROZONAS!B:B,MACROZONAS!A:A)</f>
        <v>7</v>
      </c>
      <c r="K87" s="27">
        <f t="array" ref="K87">XLOOKUP(Vaga!$B87,SETORES!B:B,SETORES!A:A)</f>
        <v>11</v>
      </c>
    </row>
    <row r="88" ht="14.25" customHeight="1">
      <c r="A88" s="17" t="s">
        <v>42</v>
      </c>
      <c r="B88" s="17" t="s">
        <v>40</v>
      </c>
      <c r="C88" s="16">
        <v>50.0</v>
      </c>
      <c r="D88" s="16">
        <v>500.0</v>
      </c>
      <c r="E88" s="17"/>
      <c r="F88" s="25" t="s">
        <v>196</v>
      </c>
      <c r="G88" s="17"/>
      <c r="H88" s="27" t="s">
        <v>130</v>
      </c>
      <c r="I88" s="27">
        <v>87.0</v>
      </c>
      <c r="J88" s="27">
        <f t="array" ref="J88">XLOOKUP(Vaga!$A88,MACROZONAS!B:B,MACROZONAS!A:A)</f>
        <v>3</v>
      </c>
      <c r="K88" s="27">
        <f t="array" ref="K88">XLOOKUP(Vaga!$B88,SETORES!B:B,SETORES!A:A)</f>
        <v>11</v>
      </c>
    </row>
    <row r="89" ht="14.25" customHeight="1">
      <c r="A89" s="17" t="s">
        <v>18</v>
      </c>
      <c r="B89" s="17" t="s">
        <v>40</v>
      </c>
      <c r="C89" s="16">
        <v>50.0</v>
      </c>
      <c r="D89" s="16">
        <v>500.0</v>
      </c>
      <c r="E89" s="17"/>
      <c r="F89" s="25" t="s">
        <v>196</v>
      </c>
      <c r="G89" s="17"/>
      <c r="H89" s="27" t="s">
        <v>130</v>
      </c>
      <c r="I89" s="27">
        <v>88.0</v>
      </c>
      <c r="J89" s="27">
        <f t="array" ref="J89">XLOOKUP(Vaga!$A89,MACROZONAS!B:B,MACROZONAS!A:A)</f>
        <v>4</v>
      </c>
      <c r="K89" s="27">
        <f t="array" ref="K89">XLOOKUP(Vaga!$B89,SETORES!B:B,SETORES!A:A)</f>
        <v>11</v>
      </c>
    </row>
    <row r="90" ht="14.25" customHeight="1">
      <c r="A90" s="17" t="s">
        <v>33</v>
      </c>
      <c r="B90" s="17" t="s">
        <v>40</v>
      </c>
      <c r="C90" s="16">
        <v>50.0</v>
      </c>
      <c r="D90" s="16">
        <v>500.0</v>
      </c>
      <c r="E90" s="17"/>
      <c r="F90" s="25" t="s">
        <v>196</v>
      </c>
      <c r="G90" s="17"/>
      <c r="H90" s="27" t="s">
        <v>130</v>
      </c>
      <c r="I90" s="27">
        <v>89.0</v>
      </c>
      <c r="J90" s="27">
        <f t="array" ref="J90">XLOOKUP(Vaga!$A90,MACROZONAS!B:B,MACROZONAS!A:A)</f>
        <v>1</v>
      </c>
      <c r="K90" s="27">
        <f t="array" ref="K90">XLOOKUP(Vaga!$B90,SETORES!B:B,SETORES!A:A)</f>
        <v>11</v>
      </c>
    </row>
    <row r="91" ht="14.25" customHeight="1">
      <c r="A91" s="17" t="s">
        <v>28</v>
      </c>
      <c r="B91" s="17" t="s">
        <v>40</v>
      </c>
      <c r="C91" s="16">
        <v>50.0</v>
      </c>
      <c r="D91" s="16">
        <v>500.0</v>
      </c>
      <c r="E91" s="17"/>
      <c r="F91" s="25" t="s">
        <v>196</v>
      </c>
      <c r="G91" s="17"/>
      <c r="H91" s="27" t="s">
        <v>130</v>
      </c>
      <c r="I91" s="27">
        <v>90.0</v>
      </c>
      <c r="J91" s="27">
        <f t="array" ref="J91">XLOOKUP(Vaga!$A91,MACROZONAS!B:B,MACROZONAS!A:A)</f>
        <v>2</v>
      </c>
      <c r="K91" s="27">
        <f t="array" ref="K91">XLOOKUP(Vaga!$B91,SETORES!B:B,SETORES!A:A)</f>
        <v>11</v>
      </c>
    </row>
    <row r="92" ht="14.25" customHeight="1">
      <c r="A92" s="17" t="s">
        <v>39</v>
      </c>
      <c r="B92" s="17" t="s">
        <v>40</v>
      </c>
      <c r="C92" s="16"/>
      <c r="D92" s="16"/>
      <c r="E92" s="17"/>
      <c r="F92" s="25" t="s">
        <v>196</v>
      </c>
      <c r="G92" s="17"/>
      <c r="H92" s="27"/>
      <c r="I92" s="27">
        <v>91.0</v>
      </c>
      <c r="J92" s="27">
        <f t="array" ref="J92">XLOOKUP(Vaga!$A92,MACROZONAS!B:B,MACROZONAS!A:A)</f>
        <v>5</v>
      </c>
      <c r="K92" s="27">
        <f t="array" ref="K92">XLOOKUP(Vaga!$B92,SETORES!B:B,SETORES!A:A)</f>
        <v>11</v>
      </c>
    </row>
    <row r="93" ht="14.25" customHeight="1">
      <c r="A93" s="17" t="s">
        <v>29</v>
      </c>
      <c r="B93" s="17" t="s">
        <v>20</v>
      </c>
      <c r="C93" s="16">
        <v>50.0</v>
      </c>
      <c r="D93" s="16">
        <v>500.0</v>
      </c>
      <c r="E93" s="17"/>
      <c r="F93" s="25" t="s">
        <v>196</v>
      </c>
      <c r="G93" s="17"/>
      <c r="H93" s="27" t="s">
        <v>130</v>
      </c>
      <c r="I93" s="27">
        <v>92.0</v>
      </c>
      <c r="J93" s="27">
        <f t="array" ref="J93">XLOOKUP(Vaga!$A93,MACROZONAS!B:B,MACROZONAS!A:A)</f>
        <v>6</v>
      </c>
      <c r="K93" s="27">
        <f t="array" ref="K93">XLOOKUP(Vaga!$B93,SETORES!B:B,SETORES!A:A)</f>
        <v>12</v>
      </c>
    </row>
    <row r="94" ht="14.25" customHeight="1">
      <c r="A94" s="17" t="s">
        <v>43</v>
      </c>
      <c r="B94" s="17" t="s">
        <v>20</v>
      </c>
      <c r="C94" s="16">
        <v>50.0</v>
      </c>
      <c r="D94" s="16">
        <v>500.0</v>
      </c>
      <c r="E94" s="17"/>
      <c r="F94" s="25" t="s">
        <v>196</v>
      </c>
      <c r="G94" s="17"/>
      <c r="H94" s="27" t="s">
        <v>130</v>
      </c>
      <c r="I94" s="27">
        <v>93.0</v>
      </c>
      <c r="J94" s="27">
        <f t="array" ref="J94">XLOOKUP(Vaga!$A94,MACROZONAS!B:B,MACROZONAS!A:A)</f>
        <v>7</v>
      </c>
      <c r="K94" s="27">
        <f t="array" ref="K94">XLOOKUP(Vaga!$B94,SETORES!B:B,SETORES!A:A)</f>
        <v>12</v>
      </c>
    </row>
    <row r="95" ht="14.25" customHeight="1">
      <c r="A95" s="17" t="s">
        <v>42</v>
      </c>
      <c r="B95" s="17" t="s">
        <v>20</v>
      </c>
      <c r="C95" s="16">
        <v>50.0</v>
      </c>
      <c r="D95" s="16">
        <v>500.0</v>
      </c>
      <c r="E95" s="17"/>
      <c r="F95" s="25" t="s">
        <v>196</v>
      </c>
      <c r="G95" s="17"/>
      <c r="H95" s="27" t="s">
        <v>130</v>
      </c>
      <c r="I95" s="27">
        <v>94.0</v>
      </c>
      <c r="J95" s="27">
        <f t="array" ref="J95">XLOOKUP(Vaga!$A95,MACROZONAS!B:B,MACROZONAS!A:A)</f>
        <v>3</v>
      </c>
      <c r="K95" s="27">
        <f t="array" ref="K95">XLOOKUP(Vaga!$B95,SETORES!B:B,SETORES!A:A)</f>
        <v>12</v>
      </c>
    </row>
    <row r="96" ht="14.25" customHeight="1">
      <c r="A96" s="17" t="s">
        <v>18</v>
      </c>
      <c r="B96" s="17" t="s">
        <v>20</v>
      </c>
      <c r="C96" s="16">
        <v>50.0</v>
      </c>
      <c r="D96" s="16">
        <v>500.0</v>
      </c>
      <c r="E96" s="17"/>
      <c r="F96" s="25" t="s">
        <v>196</v>
      </c>
      <c r="G96" s="17"/>
      <c r="H96" s="27" t="s">
        <v>130</v>
      </c>
      <c r="I96" s="27">
        <v>95.0</v>
      </c>
      <c r="J96" s="27">
        <f t="array" ref="J96">XLOOKUP(Vaga!$A96,MACROZONAS!B:B,MACROZONAS!A:A)</f>
        <v>4</v>
      </c>
      <c r="K96" s="27">
        <f t="array" ref="K96">XLOOKUP(Vaga!$B96,SETORES!B:B,SETORES!A:A)</f>
        <v>12</v>
      </c>
    </row>
    <row r="97" ht="14.25" customHeight="1">
      <c r="A97" s="17" t="s">
        <v>33</v>
      </c>
      <c r="B97" s="17" t="s">
        <v>20</v>
      </c>
      <c r="C97" s="16">
        <v>50.0</v>
      </c>
      <c r="D97" s="16">
        <v>500.0</v>
      </c>
      <c r="E97" s="17"/>
      <c r="F97" s="25" t="s">
        <v>196</v>
      </c>
      <c r="G97" s="17"/>
      <c r="H97" s="27" t="s">
        <v>130</v>
      </c>
      <c r="I97" s="27">
        <v>96.0</v>
      </c>
      <c r="J97" s="27">
        <f t="array" ref="J97">XLOOKUP(Vaga!$A97,MACROZONAS!B:B,MACROZONAS!A:A)</f>
        <v>1</v>
      </c>
      <c r="K97" s="27">
        <f t="array" ref="K97">XLOOKUP(Vaga!$B97,SETORES!B:B,SETORES!A:A)</f>
        <v>12</v>
      </c>
    </row>
    <row r="98" ht="14.25" customHeight="1">
      <c r="A98" s="17" t="s">
        <v>28</v>
      </c>
      <c r="B98" s="17" t="s">
        <v>20</v>
      </c>
      <c r="C98" s="16">
        <v>50.0</v>
      </c>
      <c r="D98" s="16">
        <v>500.0</v>
      </c>
      <c r="E98" s="17"/>
      <c r="F98" s="25" t="s">
        <v>196</v>
      </c>
      <c r="G98" s="17"/>
      <c r="H98" s="27" t="s">
        <v>130</v>
      </c>
      <c r="I98" s="27">
        <v>97.0</v>
      </c>
      <c r="J98" s="27">
        <f t="array" ref="J98">XLOOKUP(Vaga!$A98,MACROZONAS!B:B,MACROZONAS!A:A)</f>
        <v>2</v>
      </c>
      <c r="K98" s="27">
        <f t="array" ref="K98">XLOOKUP(Vaga!$B98,SETORES!B:B,SETORES!A:A)</f>
        <v>12</v>
      </c>
    </row>
    <row r="99" ht="14.25" customHeight="1">
      <c r="A99" s="17" t="s">
        <v>39</v>
      </c>
      <c r="B99" s="17" t="s">
        <v>20</v>
      </c>
      <c r="C99" s="16"/>
      <c r="D99" s="16"/>
      <c r="E99" s="17"/>
      <c r="F99" s="25" t="s">
        <v>196</v>
      </c>
      <c r="G99" s="17"/>
      <c r="H99" s="27"/>
      <c r="I99" s="27">
        <v>98.0</v>
      </c>
      <c r="J99" s="27">
        <f t="array" ref="J99">XLOOKUP(Vaga!$A99,MACROZONAS!B:B,MACROZONAS!A:A)</f>
        <v>5</v>
      </c>
      <c r="K99" s="27">
        <f t="array" ref="K99">XLOOKUP(Vaga!$B99,SETORES!B:B,SETORES!A:A)</f>
        <v>12</v>
      </c>
    </row>
    <row r="100" ht="14.25" customHeight="1">
      <c r="A100" s="17" t="s">
        <v>29</v>
      </c>
      <c r="B100" s="17" t="s">
        <v>27</v>
      </c>
      <c r="C100" s="16">
        <v>50.0</v>
      </c>
      <c r="D100" s="16">
        <v>500.0</v>
      </c>
      <c r="E100" s="17"/>
      <c r="F100" s="25" t="s">
        <v>196</v>
      </c>
      <c r="G100" s="17"/>
      <c r="H100" s="27" t="s">
        <v>130</v>
      </c>
      <c r="I100" s="27">
        <v>99.0</v>
      </c>
      <c r="J100" s="27">
        <f t="array" ref="J100">XLOOKUP(Vaga!$A100,MACROZONAS!B:B,MACROZONAS!A:A)</f>
        <v>6</v>
      </c>
      <c r="K100" s="27">
        <f t="array" ref="K100">XLOOKUP(Vaga!$B100,SETORES!B:B,SETORES!A:A)</f>
        <v>13</v>
      </c>
    </row>
    <row r="101" ht="14.25" customHeight="1">
      <c r="A101" s="17" t="s">
        <v>43</v>
      </c>
      <c r="B101" s="17" t="s">
        <v>27</v>
      </c>
      <c r="C101" s="16">
        <v>50.0</v>
      </c>
      <c r="D101" s="16">
        <v>500.0</v>
      </c>
      <c r="E101" s="17"/>
      <c r="F101" s="25" t="s">
        <v>196</v>
      </c>
      <c r="G101" s="17"/>
      <c r="H101" s="27" t="s">
        <v>130</v>
      </c>
      <c r="I101" s="27">
        <v>100.0</v>
      </c>
      <c r="J101" s="27">
        <f t="array" ref="J101">XLOOKUP(Vaga!$A101,MACROZONAS!B:B,MACROZONAS!A:A)</f>
        <v>7</v>
      </c>
      <c r="K101" s="27">
        <f t="array" ref="K101">XLOOKUP(Vaga!$B101,SETORES!B:B,SETORES!A:A)</f>
        <v>13</v>
      </c>
    </row>
    <row r="102" ht="14.25" customHeight="1">
      <c r="A102" s="17" t="s">
        <v>42</v>
      </c>
      <c r="B102" s="17" t="s">
        <v>27</v>
      </c>
      <c r="C102" s="16">
        <v>50.0</v>
      </c>
      <c r="D102" s="16">
        <v>500.0</v>
      </c>
      <c r="E102" s="17"/>
      <c r="F102" s="25" t="s">
        <v>196</v>
      </c>
      <c r="G102" s="17"/>
      <c r="H102" s="27" t="s">
        <v>130</v>
      </c>
      <c r="I102" s="27">
        <v>101.0</v>
      </c>
      <c r="J102" s="27">
        <f t="array" ref="J102">XLOOKUP(Vaga!$A102,MACROZONAS!B:B,MACROZONAS!A:A)</f>
        <v>3</v>
      </c>
      <c r="K102" s="27">
        <f t="array" ref="K102">XLOOKUP(Vaga!$B102,SETORES!B:B,SETORES!A:A)</f>
        <v>13</v>
      </c>
    </row>
    <row r="103" ht="14.25" customHeight="1">
      <c r="A103" s="17" t="s">
        <v>18</v>
      </c>
      <c r="B103" s="17" t="s">
        <v>27</v>
      </c>
      <c r="C103" s="16">
        <v>50.0</v>
      </c>
      <c r="D103" s="16">
        <v>500.0</v>
      </c>
      <c r="E103" s="17"/>
      <c r="F103" s="25" t="s">
        <v>196</v>
      </c>
      <c r="G103" s="17"/>
      <c r="H103" s="27" t="s">
        <v>130</v>
      </c>
      <c r="I103" s="27">
        <v>102.0</v>
      </c>
      <c r="J103" s="27">
        <f t="array" ref="J103">XLOOKUP(Vaga!$A103,MACROZONAS!B:B,MACROZONAS!A:A)</f>
        <v>4</v>
      </c>
      <c r="K103" s="27">
        <f t="array" ref="K103">XLOOKUP(Vaga!$B103,SETORES!B:B,SETORES!A:A)</f>
        <v>13</v>
      </c>
    </row>
    <row r="104" ht="14.25" customHeight="1">
      <c r="A104" s="17" t="s">
        <v>33</v>
      </c>
      <c r="B104" s="17" t="s">
        <v>27</v>
      </c>
      <c r="C104" s="16">
        <v>50.0</v>
      </c>
      <c r="D104" s="16">
        <v>500.0</v>
      </c>
      <c r="E104" s="17"/>
      <c r="F104" s="25" t="s">
        <v>196</v>
      </c>
      <c r="G104" s="17"/>
      <c r="H104" s="27" t="s">
        <v>130</v>
      </c>
      <c r="I104" s="27">
        <v>103.0</v>
      </c>
      <c r="J104" s="27">
        <f t="array" ref="J104">XLOOKUP(Vaga!$A104,MACROZONAS!B:B,MACROZONAS!A:A)</f>
        <v>1</v>
      </c>
      <c r="K104" s="27">
        <f t="array" ref="K104">XLOOKUP(Vaga!$B104,SETORES!B:B,SETORES!A:A)</f>
        <v>13</v>
      </c>
    </row>
    <row r="105" ht="14.25" customHeight="1">
      <c r="A105" s="17" t="s">
        <v>28</v>
      </c>
      <c r="B105" s="17" t="s">
        <v>27</v>
      </c>
      <c r="C105" s="16">
        <v>50.0</v>
      </c>
      <c r="D105" s="16">
        <v>500.0</v>
      </c>
      <c r="E105" s="17"/>
      <c r="F105" s="25" t="s">
        <v>196</v>
      </c>
      <c r="G105" s="17"/>
      <c r="H105" s="27" t="s">
        <v>130</v>
      </c>
      <c r="I105" s="27">
        <v>104.0</v>
      </c>
      <c r="J105" s="27">
        <f t="array" ref="J105">XLOOKUP(Vaga!$A105,MACROZONAS!B:B,MACROZONAS!A:A)</f>
        <v>2</v>
      </c>
      <c r="K105" s="27">
        <f t="array" ref="K105">XLOOKUP(Vaga!$B105,SETORES!B:B,SETORES!A:A)</f>
        <v>13</v>
      </c>
    </row>
    <row r="106" ht="14.25" customHeight="1">
      <c r="A106" s="17" t="s">
        <v>39</v>
      </c>
      <c r="B106" s="17" t="s">
        <v>27</v>
      </c>
      <c r="C106" s="16"/>
      <c r="D106" s="16"/>
      <c r="E106" s="17"/>
      <c r="F106" s="25" t="s">
        <v>196</v>
      </c>
      <c r="G106" s="17"/>
      <c r="H106" s="27"/>
      <c r="I106" s="27">
        <v>105.0</v>
      </c>
      <c r="J106" s="27">
        <f t="array" ref="J106">XLOOKUP(Vaga!$A106,MACROZONAS!B:B,MACROZONAS!A:A)</f>
        <v>5</v>
      </c>
      <c r="K106" s="27">
        <f t="array" ref="K106">XLOOKUP(Vaga!$B106,SETORES!B:B,SETORES!A:A)</f>
        <v>13</v>
      </c>
    </row>
    <row r="107" ht="14.25" customHeight="1">
      <c r="A107" s="17" t="s">
        <v>29</v>
      </c>
      <c r="B107" s="17" t="s">
        <v>24</v>
      </c>
      <c r="C107" s="16">
        <v>50.0</v>
      </c>
      <c r="D107" s="16">
        <v>500.0</v>
      </c>
      <c r="E107" s="17"/>
      <c r="F107" s="25" t="s">
        <v>196</v>
      </c>
      <c r="G107" s="17"/>
      <c r="H107" s="27" t="s">
        <v>130</v>
      </c>
      <c r="I107" s="27">
        <v>106.0</v>
      </c>
      <c r="J107" s="27">
        <f t="array" ref="J107">XLOOKUP(Vaga!$A107,MACROZONAS!B:B,MACROZONAS!A:A)</f>
        <v>6</v>
      </c>
      <c r="K107" s="27">
        <f t="array" ref="K107">XLOOKUP(Vaga!$B107,SETORES!B:B,SETORES!A:A)</f>
        <v>14</v>
      </c>
    </row>
    <row r="108" ht="14.25" customHeight="1">
      <c r="A108" s="17" t="s">
        <v>43</v>
      </c>
      <c r="B108" s="17" t="s">
        <v>24</v>
      </c>
      <c r="C108" s="16">
        <v>50.0</v>
      </c>
      <c r="D108" s="16">
        <v>500.0</v>
      </c>
      <c r="E108" s="17"/>
      <c r="F108" s="25" t="s">
        <v>196</v>
      </c>
      <c r="G108" s="17"/>
      <c r="H108" s="27" t="s">
        <v>130</v>
      </c>
      <c r="I108" s="27">
        <v>107.0</v>
      </c>
      <c r="J108" s="27">
        <f t="array" ref="J108">XLOOKUP(Vaga!$A108,MACROZONAS!B:B,MACROZONAS!A:A)</f>
        <v>7</v>
      </c>
      <c r="K108" s="27">
        <f t="array" ref="K108">XLOOKUP(Vaga!$B108,SETORES!B:B,SETORES!A:A)</f>
        <v>14</v>
      </c>
    </row>
    <row r="109" ht="14.25" customHeight="1">
      <c r="A109" s="17" t="s">
        <v>42</v>
      </c>
      <c r="B109" s="17" t="s">
        <v>24</v>
      </c>
      <c r="C109" s="16">
        <v>50.0</v>
      </c>
      <c r="D109" s="16">
        <v>500.0</v>
      </c>
      <c r="E109" s="17"/>
      <c r="F109" s="25" t="s">
        <v>196</v>
      </c>
      <c r="G109" s="17"/>
      <c r="H109" s="27" t="s">
        <v>130</v>
      </c>
      <c r="I109" s="27">
        <v>108.0</v>
      </c>
      <c r="J109" s="27">
        <f t="array" ref="J109">XLOOKUP(Vaga!$A109,MACROZONAS!B:B,MACROZONAS!A:A)</f>
        <v>3</v>
      </c>
      <c r="K109" s="27">
        <f t="array" ref="K109">XLOOKUP(Vaga!$B109,SETORES!B:B,SETORES!A:A)</f>
        <v>14</v>
      </c>
    </row>
    <row r="110" ht="14.25" customHeight="1">
      <c r="A110" s="17" t="s">
        <v>18</v>
      </c>
      <c r="B110" s="17" t="s">
        <v>24</v>
      </c>
      <c r="C110" s="16">
        <v>50.0</v>
      </c>
      <c r="D110" s="16">
        <v>500.0</v>
      </c>
      <c r="E110" s="17"/>
      <c r="F110" s="25" t="s">
        <v>196</v>
      </c>
      <c r="G110" s="17"/>
      <c r="H110" s="27" t="s">
        <v>130</v>
      </c>
      <c r="I110" s="27">
        <v>109.0</v>
      </c>
      <c r="J110" s="27">
        <f t="array" ref="J110">XLOOKUP(Vaga!$A110,MACROZONAS!B:B,MACROZONAS!A:A)</f>
        <v>4</v>
      </c>
      <c r="K110" s="27">
        <f t="array" ref="K110">XLOOKUP(Vaga!$B110,SETORES!B:B,SETORES!A:A)</f>
        <v>14</v>
      </c>
    </row>
    <row r="111" ht="14.25" customHeight="1">
      <c r="A111" s="17" t="s">
        <v>33</v>
      </c>
      <c r="B111" s="17" t="s">
        <v>24</v>
      </c>
      <c r="C111" s="16">
        <v>50.0</v>
      </c>
      <c r="D111" s="16">
        <v>500.0</v>
      </c>
      <c r="E111" s="17"/>
      <c r="F111" s="25" t="s">
        <v>196</v>
      </c>
      <c r="G111" s="17"/>
      <c r="H111" s="27" t="s">
        <v>130</v>
      </c>
      <c r="I111" s="27">
        <v>110.0</v>
      </c>
      <c r="J111" s="27">
        <f t="array" ref="J111">XLOOKUP(Vaga!$A111,MACROZONAS!B:B,MACROZONAS!A:A)</f>
        <v>1</v>
      </c>
      <c r="K111" s="27">
        <f t="array" ref="K111">XLOOKUP(Vaga!$B111,SETORES!B:B,SETORES!A:A)</f>
        <v>14</v>
      </c>
    </row>
    <row r="112" ht="14.25" customHeight="1">
      <c r="A112" s="17" t="s">
        <v>28</v>
      </c>
      <c r="B112" s="17" t="s">
        <v>24</v>
      </c>
      <c r="C112" s="16">
        <v>50.0</v>
      </c>
      <c r="D112" s="16">
        <v>500.0</v>
      </c>
      <c r="E112" s="17"/>
      <c r="F112" s="25" t="s">
        <v>196</v>
      </c>
      <c r="G112" s="17"/>
      <c r="H112" s="27" t="s">
        <v>130</v>
      </c>
      <c r="I112" s="27">
        <v>111.0</v>
      </c>
      <c r="J112" s="27">
        <f t="array" ref="J112">XLOOKUP(Vaga!$A112,MACROZONAS!B:B,MACROZONAS!A:A)</f>
        <v>2</v>
      </c>
      <c r="K112" s="27">
        <f t="array" ref="K112">XLOOKUP(Vaga!$B112,SETORES!B:B,SETORES!A:A)</f>
        <v>14</v>
      </c>
    </row>
    <row r="113" ht="14.25" customHeight="1">
      <c r="A113" s="17" t="s">
        <v>39</v>
      </c>
      <c r="B113" s="17" t="s">
        <v>24</v>
      </c>
      <c r="C113" s="16"/>
      <c r="D113" s="16"/>
      <c r="E113" s="17"/>
      <c r="F113" s="25" t="s">
        <v>196</v>
      </c>
      <c r="G113" s="17"/>
      <c r="H113" s="27"/>
      <c r="I113" s="27">
        <v>112.0</v>
      </c>
      <c r="J113" s="27">
        <f t="array" ref="J113">XLOOKUP(Vaga!$A113,MACROZONAS!B:B,MACROZONAS!A:A)</f>
        <v>5</v>
      </c>
      <c r="K113" s="27">
        <f t="array" ref="K113">XLOOKUP(Vaga!$B113,SETORES!B:B,SETORES!A:A)</f>
        <v>14</v>
      </c>
    </row>
    <row r="114" ht="14.25" customHeight="1">
      <c r="A114" s="17" t="s">
        <v>29</v>
      </c>
      <c r="B114" s="17" t="s">
        <v>23</v>
      </c>
      <c r="C114" s="16">
        <v>50.0</v>
      </c>
      <c r="D114" s="16">
        <v>500.0</v>
      </c>
      <c r="E114" s="17"/>
      <c r="F114" s="25" t="s">
        <v>196</v>
      </c>
      <c r="G114" s="17"/>
      <c r="H114" s="27" t="s">
        <v>130</v>
      </c>
      <c r="I114" s="27">
        <v>113.0</v>
      </c>
      <c r="J114" s="27">
        <f t="array" ref="J114">XLOOKUP(Vaga!$A114,MACROZONAS!B:B,MACROZONAS!A:A)</f>
        <v>6</v>
      </c>
      <c r="K114" s="27">
        <f t="array" ref="K114">XLOOKUP(Vaga!$B114,SETORES!B:B,SETORES!A:A)</f>
        <v>15</v>
      </c>
    </row>
    <row r="115" ht="14.25" customHeight="1">
      <c r="A115" s="17" t="s">
        <v>43</v>
      </c>
      <c r="B115" s="17" t="s">
        <v>23</v>
      </c>
      <c r="C115" s="16">
        <v>50.0</v>
      </c>
      <c r="D115" s="16">
        <v>500.0</v>
      </c>
      <c r="E115" s="17"/>
      <c r="F115" s="25" t="s">
        <v>196</v>
      </c>
      <c r="G115" s="17"/>
      <c r="H115" s="27" t="s">
        <v>130</v>
      </c>
      <c r="I115" s="27">
        <v>114.0</v>
      </c>
      <c r="J115" s="27">
        <f t="array" ref="J115">XLOOKUP(Vaga!$A115,MACROZONAS!B:B,MACROZONAS!A:A)</f>
        <v>7</v>
      </c>
      <c r="K115" s="27">
        <f t="array" ref="K115">XLOOKUP(Vaga!$B115,SETORES!B:B,SETORES!A:A)</f>
        <v>15</v>
      </c>
    </row>
    <row r="116" ht="14.25" customHeight="1">
      <c r="A116" s="17" t="s">
        <v>42</v>
      </c>
      <c r="B116" s="17" t="s">
        <v>23</v>
      </c>
      <c r="C116" s="16">
        <v>50.0</v>
      </c>
      <c r="D116" s="16">
        <v>500.0</v>
      </c>
      <c r="E116" s="17"/>
      <c r="F116" s="25" t="s">
        <v>196</v>
      </c>
      <c r="G116" s="17"/>
      <c r="H116" s="27" t="s">
        <v>130</v>
      </c>
      <c r="I116" s="27">
        <v>115.0</v>
      </c>
      <c r="J116" s="27">
        <f t="array" ref="J116">XLOOKUP(Vaga!$A116,MACROZONAS!B:B,MACROZONAS!A:A)</f>
        <v>3</v>
      </c>
      <c r="K116" s="27">
        <f t="array" ref="K116">XLOOKUP(Vaga!$B116,SETORES!B:B,SETORES!A:A)</f>
        <v>15</v>
      </c>
    </row>
    <row r="117" ht="14.25" customHeight="1">
      <c r="A117" s="17" t="s">
        <v>18</v>
      </c>
      <c r="B117" s="17" t="s">
        <v>23</v>
      </c>
      <c r="C117" s="16">
        <v>50.0</v>
      </c>
      <c r="D117" s="16">
        <v>500.0</v>
      </c>
      <c r="E117" s="17"/>
      <c r="F117" s="25" t="s">
        <v>196</v>
      </c>
      <c r="G117" s="17"/>
      <c r="H117" s="27" t="s">
        <v>130</v>
      </c>
      <c r="I117" s="27">
        <v>116.0</v>
      </c>
      <c r="J117" s="27">
        <f t="array" ref="J117">XLOOKUP(Vaga!$A117,MACROZONAS!B:B,MACROZONAS!A:A)</f>
        <v>4</v>
      </c>
      <c r="K117" s="27">
        <f t="array" ref="K117">XLOOKUP(Vaga!$B117,SETORES!B:B,SETORES!A:A)</f>
        <v>15</v>
      </c>
    </row>
    <row r="118" ht="14.25" customHeight="1">
      <c r="A118" s="17" t="s">
        <v>33</v>
      </c>
      <c r="B118" s="17" t="s">
        <v>23</v>
      </c>
      <c r="C118" s="16">
        <v>50.0</v>
      </c>
      <c r="D118" s="16">
        <v>500.0</v>
      </c>
      <c r="E118" s="17"/>
      <c r="F118" s="25" t="s">
        <v>196</v>
      </c>
      <c r="G118" s="17"/>
      <c r="H118" s="27" t="s">
        <v>130</v>
      </c>
      <c r="I118" s="27">
        <v>117.0</v>
      </c>
      <c r="J118" s="27">
        <f t="array" ref="J118">XLOOKUP(Vaga!$A118,MACROZONAS!B:B,MACROZONAS!A:A)</f>
        <v>1</v>
      </c>
      <c r="K118" s="27">
        <f t="array" ref="K118">XLOOKUP(Vaga!$B118,SETORES!B:B,SETORES!A:A)</f>
        <v>15</v>
      </c>
    </row>
    <row r="119" ht="14.25" customHeight="1">
      <c r="A119" s="17" t="s">
        <v>28</v>
      </c>
      <c r="B119" s="17" t="s">
        <v>23</v>
      </c>
      <c r="C119" s="16">
        <v>50.0</v>
      </c>
      <c r="D119" s="16">
        <v>500.0</v>
      </c>
      <c r="E119" s="17"/>
      <c r="F119" s="25" t="s">
        <v>196</v>
      </c>
      <c r="G119" s="17"/>
      <c r="H119" s="27" t="s">
        <v>130</v>
      </c>
      <c r="I119" s="27">
        <v>118.0</v>
      </c>
      <c r="J119" s="27">
        <f t="array" ref="J119">XLOOKUP(Vaga!$A119,MACROZONAS!B:B,MACROZONAS!A:A)</f>
        <v>2</v>
      </c>
      <c r="K119" s="27">
        <f t="array" ref="K119">XLOOKUP(Vaga!$B119,SETORES!B:B,SETORES!A:A)</f>
        <v>15</v>
      </c>
    </row>
    <row r="120" ht="14.25" customHeight="1">
      <c r="A120" s="17" t="s">
        <v>39</v>
      </c>
      <c r="B120" s="17" t="s">
        <v>23</v>
      </c>
      <c r="C120" s="16"/>
      <c r="D120" s="16"/>
      <c r="E120" s="17"/>
      <c r="F120" s="25" t="s">
        <v>196</v>
      </c>
      <c r="G120" s="17"/>
      <c r="H120" s="27"/>
      <c r="I120" s="27">
        <v>119.0</v>
      </c>
      <c r="J120" s="27">
        <f t="array" ref="J120">XLOOKUP(Vaga!$A120,MACROZONAS!B:B,MACROZONAS!A:A)</f>
        <v>5</v>
      </c>
      <c r="K120" s="27">
        <f t="array" ref="K120">XLOOKUP(Vaga!$B120,SETORES!B:B,SETORES!A:A)</f>
        <v>15</v>
      </c>
    </row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dataValidations>
    <dataValidation type="list" allowBlank="1" showErrorMessage="1" sqref="A2:A120">
      <formula1>MACROZONAS!$B$2:$B$8</formula1>
    </dataValidation>
    <dataValidation type="list" allowBlank="1" showErrorMessage="1" sqref="B2:B120">
      <formula1>SETORES!$B$2:$B$18</formula1>
    </dataValidation>
  </dataValidations>
  <printOptions/>
  <pageMargins bottom="0.787401575" footer="0.0" header="0.0" left="0.511811024" right="0.511811024" top="0.787401575"/>
  <pageSetup orientation="landscape"/>
  <drawing r:id="rId1"/>
  <tableParts count="1"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1E4F5"/>
    <pageSetUpPr/>
  </sheetPr>
  <sheetViews>
    <sheetView workbookViewId="0"/>
  </sheetViews>
  <sheetFormatPr customHeight="1" defaultColWidth="12.63" defaultRowHeight="15.0"/>
  <cols>
    <col customWidth="1" min="1" max="1" width="23.75"/>
    <col customWidth="1" min="2" max="26" width="27.75"/>
  </cols>
  <sheetData>
    <row r="1" ht="14.25" customHeight="1">
      <c r="A1" s="24" t="s">
        <v>46</v>
      </c>
      <c r="B1" s="24" t="s">
        <v>47</v>
      </c>
      <c r="C1" s="24" t="s">
        <v>197</v>
      </c>
      <c r="D1" s="24" t="s">
        <v>158</v>
      </c>
      <c r="E1" s="24" t="s">
        <v>159</v>
      </c>
      <c r="F1" s="24" t="s">
        <v>160</v>
      </c>
      <c r="G1" s="24" t="s">
        <v>198</v>
      </c>
      <c r="H1" s="24" t="s">
        <v>199</v>
      </c>
      <c r="I1" s="24" t="s">
        <v>200</v>
      </c>
    </row>
    <row r="2" ht="14.25" customHeight="1">
      <c r="A2" s="17" t="s">
        <v>33</v>
      </c>
      <c r="B2" s="17" t="s">
        <v>12</v>
      </c>
      <c r="C2" s="16">
        <v>70.0</v>
      </c>
      <c r="D2" s="17"/>
      <c r="E2" s="25">
        <v>12.0</v>
      </c>
      <c r="F2" s="17"/>
      <c r="G2" s="17">
        <v>1.0</v>
      </c>
      <c r="H2" s="17">
        <f t="array" ref="H2">XLOOKUP(EMBASAMENTO!$A2,MACROZONAS!B:B,MACROZONAS!A:A)</f>
        <v>1</v>
      </c>
      <c r="I2" s="17">
        <f t="array" ref="I2">XLOOKUP(EMBASAMENTO!$B2,SETORES!B:B,SETORES!A:A)</f>
        <v>1</v>
      </c>
    </row>
    <row r="3" ht="14.25" customHeight="1">
      <c r="A3" s="17" t="s">
        <v>33</v>
      </c>
      <c r="B3" s="17" t="s">
        <v>34</v>
      </c>
      <c r="C3" s="16">
        <v>70.0</v>
      </c>
      <c r="D3" s="17"/>
      <c r="E3" s="25">
        <v>12.0</v>
      </c>
      <c r="F3" s="17"/>
      <c r="G3" s="17">
        <v>2.0</v>
      </c>
      <c r="H3" s="17">
        <f t="array" ref="H3">XLOOKUP(EMBASAMENTO!$A3,MACROZONAS!B:B,MACROZONAS!A:A)</f>
        <v>1</v>
      </c>
      <c r="I3" s="17">
        <f t="array" ref="I3">XLOOKUP(EMBASAMENTO!$B3,SETORES!B:B,SETORES!A:A)</f>
        <v>2</v>
      </c>
    </row>
    <row r="4" ht="14.25" customHeight="1">
      <c r="A4" s="17" t="s">
        <v>33</v>
      </c>
      <c r="B4" s="17" t="s">
        <v>41</v>
      </c>
      <c r="C4" s="16">
        <v>70.0</v>
      </c>
      <c r="D4" s="17"/>
      <c r="E4" s="25">
        <v>12.0</v>
      </c>
      <c r="F4" s="17"/>
      <c r="G4" s="17">
        <v>3.0</v>
      </c>
      <c r="H4" s="17">
        <f t="array" ref="H4">XLOOKUP(EMBASAMENTO!$A4,MACROZONAS!B:B,MACROZONAS!A:A)</f>
        <v>1</v>
      </c>
      <c r="I4" s="17">
        <f t="array" ref="I4">XLOOKUP(EMBASAMENTO!$B4,SETORES!B:B,SETORES!A:A)</f>
        <v>3</v>
      </c>
    </row>
    <row r="5" ht="14.25" customHeight="1">
      <c r="A5" s="17" t="s">
        <v>33</v>
      </c>
      <c r="B5" s="17" t="s">
        <v>25</v>
      </c>
      <c r="C5" s="16">
        <v>70.0</v>
      </c>
      <c r="D5" s="17"/>
      <c r="E5" s="25">
        <v>12.0</v>
      </c>
      <c r="F5" s="17"/>
      <c r="G5" s="17">
        <v>4.0</v>
      </c>
      <c r="H5" s="17">
        <f t="array" ref="H5">XLOOKUP(EMBASAMENTO!$A5,MACROZONAS!B:B,MACROZONAS!A:A)</f>
        <v>1</v>
      </c>
      <c r="I5" s="17">
        <f t="array" ref="I5">XLOOKUP(EMBASAMENTO!$B5,SETORES!B:B,SETORES!A:A)</f>
        <v>4</v>
      </c>
    </row>
    <row r="6" ht="14.25" customHeight="1">
      <c r="A6" s="17" t="s">
        <v>33</v>
      </c>
      <c r="B6" s="17" t="s">
        <v>17</v>
      </c>
      <c r="C6" s="16">
        <v>70.0</v>
      </c>
      <c r="D6" s="17"/>
      <c r="E6" s="25">
        <v>12.0</v>
      </c>
      <c r="F6" s="17"/>
      <c r="G6" s="17">
        <v>5.0</v>
      </c>
      <c r="H6" s="17">
        <f t="array" ref="H6">XLOOKUP(EMBASAMENTO!$A6,MACROZONAS!B:B,MACROZONAS!A:A)</f>
        <v>1</v>
      </c>
      <c r="I6" s="17">
        <f t="array" ref="I6">XLOOKUP(EMBASAMENTO!$B6,SETORES!B:B,SETORES!A:A)</f>
        <v>5</v>
      </c>
    </row>
    <row r="7" ht="14.25" customHeight="1">
      <c r="A7" s="17" t="s">
        <v>33</v>
      </c>
      <c r="B7" s="17" t="s">
        <v>121</v>
      </c>
      <c r="C7" s="16">
        <v>70.0</v>
      </c>
      <c r="D7" s="17"/>
      <c r="E7" s="25">
        <v>12.0</v>
      </c>
      <c r="F7" s="17"/>
      <c r="G7" s="17">
        <v>6.0</v>
      </c>
      <c r="H7" s="17">
        <f t="array" ref="H7">XLOOKUP(EMBASAMENTO!$A7,MACROZONAS!B:B,MACROZONAS!A:A)</f>
        <v>1</v>
      </c>
      <c r="I7" s="17">
        <f t="array" ref="I7">XLOOKUP(EMBASAMENTO!$B7,SETORES!B:B,SETORES!A:A)</f>
        <v>6</v>
      </c>
    </row>
    <row r="8" ht="14.25" customHeight="1">
      <c r="A8" s="17" t="s">
        <v>33</v>
      </c>
      <c r="B8" s="17" t="s">
        <v>37</v>
      </c>
      <c r="C8" s="16">
        <v>70.0</v>
      </c>
      <c r="D8" s="17"/>
      <c r="E8" s="25">
        <v>12.0</v>
      </c>
      <c r="F8" s="17"/>
      <c r="G8" s="17">
        <v>7.0</v>
      </c>
      <c r="H8" s="17">
        <f t="array" ref="H8">XLOOKUP(EMBASAMENTO!$A8,MACROZONAS!B:B,MACROZONAS!A:A)</f>
        <v>1</v>
      </c>
      <c r="I8" s="17">
        <f t="array" ref="I8">XLOOKUP(EMBASAMENTO!$B8,SETORES!B:B,SETORES!A:A)</f>
        <v>7</v>
      </c>
    </row>
    <row r="9" ht="14.25" customHeight="1">
      <c r="A9" s="17" t="s">
        <v>33</v>
      </c>
      <c r="B9" s="17" t="s">
        <v>36</v>
      </c>
      <c r="C9" s="16">
        <v>70.0</v>
      </c>
      <c r="D9" s="17"/>
      <c r="E9" s="25">
        <v>12.0</v>
      </c>
      <c r="F9" s="17"/>
      <c r="G9" s="17">
        <v>8.0</v>
      </c>
      <c r="H9" s="17">
        <f t="array" ref="H9">XLOOKUP(EMBASAMENTO!$A9,MACROZONAS!B:B,MACROZONAS!A:A)</f>
        <v>1</v>
      </c>
      <c r="I9" s="17">
        <f t="array" ref="I9">XLOOKUP(EMBASAMENTO!$B9,SETORES!B:B,SETORES!A:A)</f>
        <v>8</v>
      </c>
    </row>
    <row r="10" ht="14.25" customHeight="1">
      <c r="A10" s="17" t="s">
        <v>33</v>
      </c>
      <c r="B10" s="17" t="s">
        <v>15</v>
      </c>
      <c r="C10" s="16">
        <v>70.0</v>
      </c>
      <c r="D10" s="17"/>
      <c r="E10" s="25">
        <v>12.0</v>
      </c>
      <c r="F10" s="17"/>
      <c r="G10" s="17">
        <v>9.0</v>
      </c>
      <c r="H10" s="17">
        <f t="array" ref="H10">XLOOKUP(EMBASAMENTO!$A10,MACROZONAS!B:B,MACROZONAS!A:A)</f>
        <v>1</v>
      </c>
      <c r="I10" s="17">
        <f t="array" ref="I10">XLOOKUP(EMBASAMENTO!$B10,SETORES!B:B,SETORES!A:A)</f>
        <v>9</v>
      </c>
    </row>
    <row r="11" ht="14.25" customHeight="1">
      <c r="A11" s="17" t="s">
        <v>33</v>
      </c>
      <c r="B11" s="17" t="s">
        <v>38</v>
      </c>
      <c r="C11" s="16">
        <v>70.0</v>
      </c>
      <c r="D11" s="17"/>
      <c r="E11" s="25">
        <v>12.0</v>
      </c>
      <c r="F11" s="17"/>
      <c r="G11" s="17">
        <v>10.0</v>
      </c>
      <c r="H11" s="17">
        <f t="array" ref="H11">XLOOKUP(EMBASAMENTO!$A11,MACROZONAS!B:B,MACROZONAS!A:A)</f>
        <v>1</v>
      </c>
      <c r="I11" s="17">
        <f t="array" ref="I11">XLOOKUP(EMBASAMENTO!$B11,SETORES!B:B,SETORES!A:A)</f>
        <v>10</v>
      </c>
    </row>
    <row r="12" ht="14.25" customHeight="1">
      <c r="A12" s="17" t="s">
        <v>33</v>
      </c>
      <c r="B12" s="17" t="s">
        <v>40</v>
      </c>
      <c r="C12" s="16">
        <v>70.0</v>
      </c>
      <c r="D12" s="17"/>
      <c r="E12" s="25">
        <v>12.0</v>
      </c>
      <c r="F12" s="17"/>
      <c r="G12" s="17">
        <v>11.0</v>
      </c>
      <c r="H12" s="17">
        <f t="array" ref="H12">XLOOKUP(EMBASAMENTO!$A12,MACROZONAS!B:B,MACROZONAS!A:A)</f>
        <v>1</v>
      </c>
      <c r="I12" s="17">
        <f t="array" ref="I12">XLOOKUP(EMBASAMENTO!$B12,SETORES!B:B,SETORES!A:A)</f>
        <v>11</v>
      </c>
    </row>
    <row r="13" ht="14.25" customHeight="1">
      <c r="A13" s="17" t="s">
        <v>33</v>
      </c>
      <c r="B13" s="17" t="s">
        <v>20</v>
      </c>
      <c r="C13" s="16">
        <v>70.0</v>
      </c>
      <c r="D13" s="17"/>
      <c r="E13" s="25">
        <v>12.0</v>
      </c>
      <c r="F13" s="17"/>
      <c r="G13" s="17">
        <v>12.0</v>
      </c>
      <c r="H13" s="17">
        <f t="array" ref="H13">XLOOKUP(EMBASAMENTO!$A13,MACROZONAS!B:B,MACROZONAS!A:A)</f>
        <v>1</v>
      </c>
      <c r="I13" s="17">
        <f t="array" ref="I13">XLOOKUP(EMBASAMENTO!$B13,SETORES!B:B,SETORES!A:A)</f>
        <v>12</v>
      </c>
    </row>
    <row r="14" ht="14.25" customHeight="1">
      <c r="A14" s="17" t="s">
        <v>33</v>
      </c>
      <c r="B14" s="17" t="s">
        <v>27</v>
      </c>
      <c r="C14" s="16">
        <v>70.0</v>
      </c>
      <c r="D14" s="17"/>
      <c r="E14" s="25">
        <v>12.0</v>
      </c>
      <c r="F14" s="17"/>
      <c r="G14" s="17">
        <v>13.0</v>
      </c>
      <c r="H14" s="17">
        <f t="array" ref="H14">XLOOKUP(EMBASAMENTO!$A14,MACROZONAS!B:B,MACROZONAS!A:A)</f>
        <v>1</v>
      </c>
      <c r="I14" s="17">
        <f t="array" ref="I14">XLOOKUP(EMBASAMENTO!$B14,SETORES!B:B,SETORES!A:A)</f>
        <v>13</v>
      </c>
    </row>
    <row r="15" ht="14.25" customHeight="1">
      <c r="A15" s="17" t="s">
        <v>33</v>
      </c>
      <c r="B15" s="17" t="s">
        <v>24</v>
      </c>
      <c r="C15" s="16">
        <v>70.0</v>
      </c>
      <c r="D15" s="17"/>
      <c r="E15" s="25">
        <v>12.0</v>
      </c>
      <c r="F15" s="17"/>
      <c r="G15" s="17">
        <v>14.0</v>
      </c>
      <c r="H15" s="17">
        <f t="array" ref="H15">XLOOKUP(EMBASAMENTO!$A15,MACROZONAS!B:B,MACROZONAS!A:A)</f>
        <v>1</v>
      </c>
      <c r="I15" s="17">
        <f t="array" ref="I15">XLOOKUP(EMBASAMENTO!$B15,SETORES!B:B,SETORES!A:A)</f>
        <v>14</v>
      </c>
    </row>
    <row r="16" ht="14.25" customHeight="1">
      <c r="A16" s="17" t="s">
        <v>33</v>
      </c>
      <c r="B16" s="17" t="s">
        <v>23</v>
      </c>
      <c r="C16" s="16">
        <v>70.0</v>
      </c>
      <c r="D16" s="17"/>
      <c r="E16" s="25">
        <v>12.0</v>
      </c>
      <c r="F16" s="17"/>
      <c r="G16" s="17">
        <v>15.0</v>
      </c>
      <c r="H16" s="17">
        <f t="array" ref="H16">XLOOKUP(EMBASAMENTO!$A16,MACROZONAS!B:B,MACROZONAS!A:A)</f>
        <v>1</v>
      </c>
      <c r="I16" s="17">
        <f t="array" ref="I16">XLOOKUP(EMBASAMENTO!$B16,SETORES!B:B,SETORES!A:A)</f>
        <v>15</v>
      </c>
    </row>
    <row r="17" ht="14.25" customHeight="1">
      <c r="A17" s="17" t="s">
        <v>33</v>
      </c>
      <c r="B17" s="17" t="s">
        <v>35</v>
      </c>
      <c r="C17" s="16">
        <v>70.0</v>
      </c>
      <c r="D17" s="17"/>
      <c r="E17" s="25">
        <v>12.0</v>
      </c>
      <c r="F17" s="17"/>
      <c r="G17" s="17">
        <v>16.0</v>
      </c>
      <c r="H17" s="17">
        <f t="array" ref="H17">XLOOKUP(EMBASAMENTO!$A17,MACROZONAS!B:B,MACROZONAS!A:A)</f>
        <v>1</v>
      </c>
      <c r="I17" s="17">
        <f t="array" ref="I17">XLOOKUP(EMBASAMENTO!$B17,SETORES!B:B,SETORES!A:A)</f>
        <v>16</v>
      </c>
    </row>
    <row r="18" ht="14.25" customHeight="1">
      <c r="A18" s="17" t="s">
        <v>33</v>
      </c>
      <c r="B18" s="17" t="s">
        <v>26</v>
      </c>
      <c r="C18" s="16">
        <v>70.0</v>
      </c>
      <c r="D18" s="17"/>
      <c r="E18" s="25">
        <v>12.0</v>
      </c>
      <c r="F18" s="17"/>
      <c r="G18" s="17">
        <v>17.0</v>
      </c>
      <c r="H18" s="17">
        <f t="array" ref="H18">XLOOKUP(EMBASAMENTO!$A18,MACROZONAS!B:B,MACROZONAS!A:A)</f>
        <v>1</v>
      </c>
      <c r="I18" s="17">
        <f t="array" ref="I18">XLOOKUP(EMBASAMENTO!$B18,SETORES!B:B,SETORES!A:A)</f>
        <v>17</v>
      </c>
    </row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dataValidations>
    <dataValidation type="list" allowBlank="1" showErrorMessage="1" sqref="A2:A18">
      <formula1>MACROZONAS!$B$2:$B$8</formula1>
    </dataValidation>
    <dataValidation type="list" allowBlank="1" showErrorMessage="1" sqref="B2:B18">
      <formula1>SETORES!$B$2:$B$18</formula1>
    </dataValidation>
  </dataValidations>
  <printOptions/>
  <pageMargins bottom="0.787401575" footer="0.0" header="0.0" left="0.511811024" right="0.511811024" top="0.787401575"/>
  <pageSetup orientation="landscape"/>
  <drawing r:id="rId1"/>
  <tableParts count="1">
    <tablePart r:id="rId3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workbookViewId="0"/>
  </sheetViews>
  <sheetFormatPr customHeight="1" defaultColWidth="12.63" defaultRowHeight="15.0"/>
  <cols>
    <col customWidth="1" min="1" max="1" width="30.5"/>
    <col customWidth="1" min="2" max="2" width="79.5"/>
    <col customWidth="1" min="3" max="3" width="8.75"/>
    <col customWidth="1" min="4" max="4" width="39.5"/>
    <col customWidth="1" min="5" max="5" width="12.75"/>
    <col customWidth="1" min="6" max="6" width="14.38"/>
    <col customWidth="1" min="7" max="7" width="11.0"/>
    <col customWidth="1" min="8" max="8" width="74.5"/>
    <col customWidth="1" min="9" max="26" width="54.0"/>
  </cols>
  <sheetData>
    <row r="1" ht="17.25" customHeight="1">
      <c r="A1" s="28" t="s">
        <v>123</v>
      </c>
      <c r="B1" s="28" t="s">
        <v>48</v>
      </c>
      <c r="C1" s="28" t="s">
        <v>201</v>
      </c>
      <c r="D1" s="28" t="s">
        <v>202</v>
      </c>
      <c r="E1" s="28" t="s">
        <v>203</v>
      </c>
      <c r="F1" s="29" t="s">
        <v>127</v>
      </c>
      <c r="G1" s="28" t="s">
        <v>204</v>
      </c>
      <c r="H1" s="28" t="s">
        <v>205</v>
      </c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</row>
    <row r="2" ht="39.0" customHeight="1">
      <c r="A2" s="31" t="s">
        <v>206</v>
      </c>
      <c r="B2" s="31" t="s">
        <v>49</v>
      </c>
      <c r="C2" s="31" t="s">
        <v>207</v>
      </c>
      <c r="D2" s="31"/>
      <c r="E2" s="31"/>
      <c r="F2" s="31" t="s">
        <v>208</v>
      </c>
      <c r="G2" s="31">
        <v>1.0</v>
      </c>
      <c r="H2" s="31" t="str">
        <f>USOS!$A2&amp;" - "&amp;USOS!$B2&amp;" - "&amp;USOS!$C2</f>
        <v>RESIDENCIAL - Unifamiliar - n/a</v>
      </c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</row>
    <row r="3" ht="39.0" customHeight="1">
      <c r="A3" s="31" t="s">
        <v>206</v>
      </c>
      <c r="B3" s="31" t="s">
        <v>50</v>
      </c>
      <c r="C3" s="31" t="s">
        <v>207</v>
      </c>
      <c r="D3" s="31"/>
      <c r="E3" s="31"/>
      <c r="F3" s="31" t="s">
        <v>208</v>
      </c>
      <c r="G3" s="31">
        <v>2.0</v>
      </c>
      <c r="H3" s="31" t="str">
        <f>USOS!$A3&amp;" - "&amp;USOS!$B3&amp;" - "&amp;USOS!$C3</f>
        <v>RESIDENCIAL - Multifamiliar - n/a</v>
      </c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</row>
    <row r="4" ht="39.0" customHeight="1">
      <c r="A4" s="31" t="s">
        <v>209</v>
      </c>
      <c r="B4" s="31" t="s">
        <v>51</v>
      </c>
      <c r="C4" s="31" t="s">
        <v>210</v>
      </c>
      <c r="D4" s="31" t="s">
        <v>211</v>
      </c>
      <c r="E4" s="31"/>
      <c r="F4" s="31" t="s">
        <v>208</v>
      </c>
      <c r="G4" s="31">
        <v>3.0</v>
      </c>
      <c r="H4" s="31" t="str">
        <f>USOS!$A4&amp;" - "&amp;USOS!$B4&amp;" - "&amp;USOS!$C4</f>
        <v>COMERCIAL - Varejista - Pequeno</v>
      </c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</row>
    <row r="5" ht="39.0" hidden="1" customHeight="1">
      <c r="A5" s="31" t="s">
        <v>209</v>
      </c>
      <c r="B5" s="31" t="s">
        <v>51</v>
      </c>
      <c r="C5" s="31" t="s">
        <v>212</v>
      </c>
      <c r="D5" s="31" t="s">
        <v>211</v>
      </c>
      <c r="E5" s="31"/>
      <c r="F5" s="31" t="s">
        <v>208</v>
      </c>
      <c r="G5" s="31">
        <v>4.0</v>
      </c>
      <c r="H5" s="31" t="str">
        <f>USOS!$A5&amp;" - "&amp;USOS!$B5&amp;" - "&amp;USOS!$C5</f>
        <v>COMERCIAL - Varejista - Médio</v>
      </c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</row>
    <row r="6" ht="39.0" hidden="1" customHeight="1">
      <c r="A6" s="31" t="s">
        <v>209</v>
      </c>
      <c r="B6" s="31" t="s">
        <v>51</v>
      </c>
      <c r="C6" s="31" t="s">
        <v>213</v>
      </c>
      <c r="D6" s="31" t="s">
        <v>211</v>
      </c>
      <c r="E6" s="31"/>
      <c r="F6" s="31" t="s">
        <v>208</v>
      </c>
      <c r="G6" s="31">
        <v>5.0</v>
      </c>
      <c r="H6" s="31" t="str">
        <f>USOS!$A6&amp;" - "&amp;USOS!$B6&amp;" - "&amp;USOS!$C6</f>
        <v>COMERCIAL - Varejista - Grande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</row>
    <row r="7" ht="39.0" customHeight="1">
      <c r="A7" s="31" t="s">
        <v>209</v>
      </c>
      <c r="B7" s="31" t="s">
        <v>52</v>
      </c>
      <c r="C7" s="31" t="s">
        <v>210</v>
      </c>
      <c r="D7" s="31" t="s">
        <v>214</v>
      </c>
      <c r="E7" s="31"/>
      <c r="F7" s="31" t="s">
        <v>208</v>
      </c>
      <c r="G7" s="31">
        <v>6.0</v>
      </c>
      <c r="H7" s="31" t="str">
        <f>USOS!$A7&amp;" - "&amp;USOS!$B7&amp;" - "&amp;USOS!$C7</f>
        <v>COMERCIAL - Atacadista - Pequeno</v>
      </c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</row>
    <row r="8" ht="39.0" hidden="1" customHeight="1">
      <c r="A8" s="31" t="s">
        <v>209</v>
      </c>
      <c r="B8" s="31" t="s">
        <v>52</v>
      </c>
      <c r="C8" s="31" t="s">
        <v>212</v>
      </c>
      <c r="D8" s="31" t="s">
        <v>214</v>
      </c>
      <c r="E8" s="31"/>
      <c r="F8" s="31" t="s">
        <v>208</v>
      </c>
      <c r="G8" s="31">
        <v>7.0</v>
      </c>
      <c r="H8" s="31" t="str">
        <f>USOS!$A8&amp;" - "&amp;USOS!$B8&amp;" - "&amp;USOS!$C8</f>
        <v>COMERCIAL - Atacadista - Médio</v>
      </c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</row>
    <row r="9" ht="39.0" hidden="1" customHeight="1">
      <c r="A9" s="31" t="s">
        <v>209</v>
      </c>
      <c r="B9" s="31" t="s">
        <v>52</v>
      </c>
      <c r="C9" s="31" t="s">
        <v>213</v>
      </c>
      <c r="D9" s="31" t="s">
        <v>214</v>
      </c>
      <c r="E9" s="31"/>
      <c r="F9" s="31" t="s">
        <v>208</v>
      </c>
      <c r="G9" s="31">
        <v>8.0</v>
      </c>
      <c r="H9" s="31" t="str">
        <f>USOS!$A9&amp;" - "&amp;USOS!$B9&amp;" - "&amp;USOS!$C9</f>
        <v>COMERCIAL - Atacadista - Grande</v>
      </c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</row>
    <row r="10" ht="39.0" customHeight="1">
      <c r="A10" s="31" t="s">
        <v>215</v>
      </c>
      <c r="B10" s="33" t="s">
        <v>53</v>
      </c>
      <c r="C10" s="31" t="s">
        <v>210</v>
      </c>
      <c r="D10" s="31" t="s">
        <v>216</v>
      </c>
      <c r="E10" s="31"/>
      <c r="F10" s="31" t="s">
        <v>208</v>
      </c>
      <c r="G10" s="31">
        <v>9.0</v>
      </c>
      <c r="H10" s="31" t="str">
        <f>USOS!$A10&amp;" - "&amp;USOS!$B10&amp;" - "&amp;USOS!$C10</f>
        <v>SERVIÇO - Atividades de Transporte, Armazenagem e Correio (3) (4) - Pequeno</v>
      </c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</row>
    <row r="11" ht="39.0" hidden="1" customHeight="1">
      <c r="A11" s="31" t="s">
        <v>215</v>
      </c>
      <c r="B11" s="33" t="s">
        <v>53</v>
      </c>
      <c r="C11" s="31" t="s">
        <v>212</v>
      </c>
      <c r="D11" s="31" t="s">
        <v>216</v>
      </c>
      <c r="E11" s="31"/>
      <c r="F11" s="31" t="s">
        <v>208</v>
      </c>
      <c r="G11" s="31">
        <v>10.0</v>
      </c>
      <c r="H11" s="31" t="str">
        <f>USOS!$A11&amp;" - "&amp;USOS!$B11&amp;" - "&amp;USOS!$C11</f>
        <v>SERVIÇO - Atividades de Transporte, Armazenagem e Correio (3) (4) - Médio</v>
      </c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</row>
    <row r="12" ht="39.0" hidden="1" customHeight="1">
      <c r="A12" s="31" t="s">
        <v>215</v>
      </c>
      <c r="B12" s="33" t="s">
        <v>53</v>
      </c>
      <c r="C12" s="31" t="s">
        <v>213</v>
      </c>
      <c r="D12" s="31" t="s">
        <v>216</v>
      </c>
      <c r="E12" s="31"/>
      <c r="F12" s="31" t="s">
        <v>208</v>
      </c>
      <c r="G12" s="31">
        <v>11.0</v>
      </c>
      <c r="H12" s="31" t="str">
        <f>USOS!$A12&amp;" - "&amp;USOS!$B12&amp;" - "&amp;USOS!$C12</f>
        <v>SERVIÇO - Atividades de Transporte, Armazenagem e Correio (3) (4) - Grande</v>
      </c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</row>
    <row r="13" ht="39.0" customHeight="1">
      <c r="A13" s="31" t="s">
        <v>215</v>
      </c>
      <c r="B13" s="33" t="s">
        <v>55</v>
      </c>
      <c r="C13" s="31" t="s">
        <v>210</v>
      </c>
      <c r="D13" s="31" t="s">
        <v>217</v>
      </c>
      <c r="E13" s="31"/>
      <c r="F13" s="31" t="s">
        <v>208</v>
      </c>
      <c r="G13" s="31">
        <v>12.0</v>
      </c>
      <c r="H13" s="31" t="str">
        <f>USOS!$A13&amp;" - "&amp;USOS!$B13&amp;" - "&amp;USOS!$C13</f>
        <v>SERVIÇO - Atividades de Alojamento e Alimentação - Pequeno</v>
      </c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</row>
    <row r="14" ht="39.0" hidden="1" customHeight="1">
      <c r="A14" s="31" t="s">
        <v>215</v>
      </c>
      <c r="B14" s="33" t="s">
        <v>55</v>
      </c>
      <c r="C14" s="31" t="s">
        <v>212</v>
      </c>
      <c r="D14" s="31" t="s">
        <v>218</v>
      </c>
      <c r="E14" s="31"/>
      <c r="F14" s="31" t="s">
        <v>208</v>
      </c>
      <c r="G14" s="31">
        <v>13.0</v>
      </c>
      <c r="H14" s="31" t="str">
        <f>USOS!$A14&amp;" - "&amp;USOS!$B14&amp;" - "&amp;USOS!$C14</f>
        <v>SERVIÇO - Atividades de Alojamento e Alimentação - Médio</v>
      </c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</row>
    <row r="15" ht="39.0" hidden="1" customHeight="1">
      <c r="A15" s="31" t="s">
        <v>215</v>
      </c>
      <c r="B15" s="33" t="s">
        <v>55</v>
      </c>
      <c r="C15" s="31" t="s">
        <v>213</v>
      </c>
      <c r="D15" s="31" t="s">
        <v>219</v>
      </c>
      <c r="E15" s="31"/>
      <c r="F15" s="31" t="s">
        <v>208</v>
      </c>
      <c r="G15" s="31">
        <v>14.0</v>
      </c>
      <c r="H15" s="31" t="str">
        <f>USOS!$A15&amp;" - "&amp;USOS!$B15&amp;" - "&amp;USOS!$C15</f>
        <v>SERVIÇO - Atividades de Alojamento e Alimentação - Grande</v>
      </c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ht="39.0" customHeight="1">
      <c r="A16" s="31" t="s">
        <v>215</v>
      </c>
      <c r="B16" s="33" t="s">
        <v>57</v>
      </c>
      <c r="C16" s="31" t="s">
        <v>210</v>
      </c>
      <c r="D16" s="31" t="s">
        <v>220</v>
      </c>
      <c r="E16" s="31">
        <v>6.0</v>
      </c>
      <c r="F16" s="31" t="s">
        <v>208</v>
      </c>
      <c r="G16" s="31">
        <v>15.0</v>
      </c>
      <c r="H16" s="31" t="str">
        <f>USOS!$A16&amp;" - "&amp;USOS!$B16&amp;" - "&amp;USOS!$C16</f>
        <v>SERVIÇO - Atividades de Informação e Comunicação - Pequeno</v>
      </c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</row>
    <row r="17" ht="39.0" hidden="1" customHeight="1">
      <c r="A17" s="31" t="s">
        <v>215</v>
      </c>
      <c r="B17" s="33" t="s">
        <v>57</v>
      </c>
      <c r="C17" s="31" t="s">
        <v>212</v>
      </c>
      <c r="D17" s="31" t="s">
        <v>220</v>
      </c>
      <c r="E17" s="31">
        <v>6.0</v>
      </c>
      <c r="F17" s="31" t="s">
        <v>208</v>
      </c>
      <c r="G17" s="31">
        <v>16.0</v>
      </c>
      <c r="H17" s="31" t="str">
        <f>USOS!$A17&amp;" - "&amp;USOS!$B17&amp;" - "&amp;USOS!$C17</f>
        <v>SERVIÇO - Atividades de Informação e Comunicação - Médio</v>
      </c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</row>
    <row r="18" ht="39.0" hidden="1" customHeight="1">
      <c r="A18" s="31" t="s">
        <v>215</v>
      </c>
      <c r="B18" s="33" t="s">
        <v>57</v>
      </c>
      <c r="C18" s="31" t="s">
        <v>213</v>
      </c>
      <c r="D18" s="31" t="s">
        <v>220</v>
      </c>
      <c r="E18" s="31">
        <v>6.0</v>
      </c>
      <c r="F18" s="31" t="s">
        <v>208</v>
      </c>
      <c r="G18" s="31">
        <v>17.0</v>
      </c>
      <c r="H18" s="31" t="str">
        <f>USOS!$A18&amp;" - "&amp;USOS!$B18&amp;" - "&amp;USOS!$C18</f>
        <v>SERVIÇO - Atividades de Informação e Comunicação - Grande</v>
      </c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</row>
    <row r="19" ht="39.0" customHeight="1">
      <c r="A19" s="31" t="s">
        <v>215</v>
      </c>
      <c r="B19" s="33" t="s">
        <v>59</v>
      </c>
      <c r="C19" s="31" t="s">
        <v>210</v>
      </c>
      <c r="D19" s="31" t="s">
        <v>221</v>
      </c>
      <c r="E19" s="31"/>
      <c r="F19" s="31" t="s">
        <v>208</v>
      </c>
      <c r="G19" s="31">
        <v>18.0</v>
      </c>
      <c r="H19" s="31" t="str">
        <f>USOS!$A19&amp;" - "&amp;USOS!$B19&amp;" - "&amp;USOS!$C19</f>
        <v>SERVIÇO - Atividades Financeiras, de Seguros e Serviços Relacionados - Pequeno</v>
      </c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</row>
    <row r="20" ht="39.0" hidden="1" customHeight="1">
      <c r="A20" s="31" t="s">
        <v>215</v>
      </c>
      <c r="B20" s="33" t="s">
        <v>59</v>
      </c>
      <c r="C20" s="31" t="s">
        <v>212</v>
      </c>
      <c r="D20" s="31" t="s">
        <v>221</v>
      </c>
      <c r="E20" s="31"/>
      <c r="F20" s="31" t="s">
        <v>208</v>
      </c>
      <c r="G20" s="31">
        <v>19.0</v>
      </c>
      <c r="H20" s="31" t="str">
        <f>USOS!$A20&amp;" - "&amp;USOS!$B20&amp;" - "&amp;USOS!$C20</f>
        <v>SERVIÇO - Atividades Financeiras, de Seguros e Serviços Relacionados - Médio</v>
      </c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</row>
    <row r="21" ht="39.0" hidden="1" customHeight="1">
      <c r="A21" s="31" t="s">
        <v>215</v>
      </c>
      <c r="B21" s="33" t="s">
        <v>59</v>
      </c>
      <c r="C21" s="31" t="s">
        <v>213</v>
      </c>
      <c r="D21" s="31" t="s">
        <v>221</v>
      </c>
      <c r="E21" s="31"/>
      <c r="F21" s="31" t="s">
        <v>208</v>
      </c>
      <c r="G21" s="31">
        <v>20.0</v>
      </c>
      <c r="H21" s="31" t="str">
        <f>USOS!$A21&amp;" - "&amp;USOS!$B21&amp;" - "&amp;USOS!$C21</f>
        <v>SERVIÇO - Atividades Financeiras, de Seguros e Serviços Relacionados - Grande</v>
      </c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</row>
    <row r="22" ht="39.0" customHeight="1">
      <c r="A22" s="31" t="s">
        <v>215</v>
      </c>
      <c r="B22" s="33" t="s">
        <v>61</v>
      </c>
      <c r="C22" s="31" t="s">
        <v>210</v>
      </c>
      <c r="D22" s="31">
        <v>68.0</v>
      </c>
      <c r="E22" s="31"/>
      <c r="F22" s="31" t="s">
        <v>208</v>
      </c>
      <c r="G22" s="31">
        <v>21.0</v>
      </c>
      <c r="H22" s="31" t="str">
        <f>USOS!$A22&amp;" - "&amp;USOS!$B22&amp;" - "&amp;USOS!$C22</f>
        <v>SERVIÇO - Atividades Imobiliárias - Pequeno</v>
      </c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</row>
    <row r="23" ht="39.0" hidden="1" customHeight="1">
      <c r="A23" s="31" t="s">
        <v>215</v>
      </c>
      <c r="B23" s="33" t="s">
        <v>61</v>
      </c>
      <c r="C23" s="31" t="s">
        <v>212</v>
      </c>
      <c r="D23" s="31">
        <v>68.0</v>
      </c>
      <c r="E23" s="31"/>
      <c r="F23" s="31" t="s">
        <v>208</v>
      </c>
      <c r="G23" s="31">
        <v>22.0</v>
      </c>
      <c r="H23" s="31" t="str">
        <f>USOS!$A23&amp;" - "&amp;USOS!$B23&amp;" - "&amp;USOS!$C23</f>
        <v>SERVIÇO - Atividades Imobiliárias - Médio</v>
      </c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</row>
    <row r="24" ht="39.0" hidden="1" customHeight="1">
      <c r="A24" s="31" t="s">
        <v>215</v>
      </c>
      <c r="B24" s="33" t="s">
        <v>61</v>
      </c>
      <c r="C24" s="31" t="s">
        <v>213</v>
      </c>
      <c r="D24" s="31">
        <v>68.0</v>
      </c>
      <c r="E24" s="31"/>
      <c r="F24" s="31" t="s">
        <v>208</v>
      </c>
      <c r="G24" s="31">
        <v>23.0</v>
      </c>
      <c r="H24" s="31" t="str">
        <f>USOS!$A24&amp;" - "&amp;USOS!$B24&amp;" - "&amp;USOS!$C24</f>
        <v>SERVIÇO - Atividades Imobiliárias - Grande</v>
      </c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</row>
    <row r="25" ht="39.0" customHeight="1">
      <c r="A25" s="31" t="s">
        <v>215</v>
      </c>
      <c r="B25" s="33" t="s">
        <v>63</v>
      </c>
      <c r="C25" s="31" t="s">
        <v>210</v>
      </c>
      <c r="D25" s="31" t="s">
        <v>222</v>
      </c>
      <c r="E25" s="31"/>
      <c r="F25" s="31" t="s">
        <v>208</v>
      </c>
      <c r="G25" s="31">
        <v>24.0</v>
      </c>
      <c r="H25" s="31" t="str">
        <f>USOS!$A25&amp;" - "&amp;USOS!$B25&amp;" - "&amp;USOS!$C25</f>
        <v>SERVIÇO - Atividades Profissionais Científicas e Técnicas. - Pequeno</v>
      </c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</row>
    <row r="26" ht="39.0" hidden="1" customHeight="1">
      <c r="A26" s="31" t="s">
        <v>215</v>
      </c>
      <c r="B26" s="33" t="s">
        <v>63</v>
      </c>
      <c r="C26" s="31" t="s">
        <v>212</v>
      </c>
      <c r="D26" s="31" t="s">
        <v>222</v>
      </c>
      <c r="E26" s="31"/>
      <c r="F26" s="31" t="s">
        <v>208</v>
      </c>
      <c r="G26" s="31">
        <v>25.0</v>
      </c>
      <c r="H26" s="31" t="str">
        <f>USOS!$A26&amp;" - "&amp;USOS!$B26&amp;" - "&amp;USOS!$C26</f>
        <v>SERVIÇO - Atividades Profissionais Científicas e Técnicas. - Médio</v>
      </c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</row>
    <row r="27" ht="39.0" hidden="1" customHeight="1">
      <c r="A27" s="31" t="s">
        <v>215</v>
      </c>
      <c r="B27" s="33" t="s">
        <v>63</v>
      </c>
      <c r="C27" s="31" t="s">
        <v>213</v>
      </c>
      <c r="D27" s="31" t="s">
        <v>222</v>
      </c>
      <c r="E27" s="31"/>
      <c r="F27" s="31" t="s">
        <v>208</v>
      </c>
      <c r="G27" s="31">
        <v>26.0</v>
      </c>
      <c r="H27" s="31" t="str">
        <f>USOS!$A27&amp;" - "&amp;USOS!$B27&amp;" - "&amp;USOS!$C27</f>
        <v>SERVIÇO - Atividades Profissionais Científicas e Técnicas. - Grande</v>
      </c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</row>
    <row r="28" ht="39.0" customHeight="1">
      <c r="A28" s="31" t="s">
        <v>215</v>
      </c>
      <c r="B28" s="33" t="s">
        <v>65</v>
      </c>
      <c r="C28" s="31" t="s">
        <v>210</v>
      </c>
      <c r="D28" s="31" t="s">
        <v>223</v>
      </c>
      <c r="E28" s="31"/>
      <c r="F28" s="31" t="s">
        <v>208</v>
      </c>
      <c r="G28" s="31">
        <v>27.0</v>
      </c>
      <c r="H28" s="31" t="str">
        <f>USOS!$A28&amp;" - "&amp;USOS!$B28&amp;" - "&amp;USOS!$C28</f>
        <v>SERVIÇO - Atividades Administrativas(inclusive segurança e educação) e Serviços Complementares - Pequeno</v>
      </c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</row>
    <row r="29" ht="39.0" hidden="1" customHeight="1">
      <c r="A29" s="31" t="s">
        <v>215</v>
      </c>
      <c r="B29" s="33" t="s">
        <v>65</v>
      </c>
      <c r="C29" s="31" t="s">
        <v>212</v>
      </c>
      <c r="D29" s="31" t="s">
        <v>223</v>
      </c>
      <c r="E29" s="31"/>
      <c r="F29" s="31" t="s">
        <v>208</v>
      </c>
      <c r="G29" s="31">
        <v>28.0</v>
      </c>
      <c r="H29" s="31" t="str">
        <f>USOS!$A29&amp;" - "&amp;USOS!$B29&amp;" - "&amp;USOS!$C29</f>
        <v>SERVIÇO - Atividades Administrativas(inclusive segurança e educação) e Serviços Complementares - Médio</v>
      </c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</row>
    <row r="30" ht="39.0" hidden="1" customHeight="1">
      <c r="A30" s="31" t="s">
        <v>215</v>
      </c>
      <c r="B30" s="33" t="s">
        <v>65</v>
      </c>
      <c r="C30" s="31" t="s">
        <v>213</v>
      </c>
      <c r="D30" s="31" t="s">
        <v>223</v>
      </c>
      <c r="E30" s="31"/>
      <c r="F30" s="31" t="s">
        <v>208</v>
      </c>
      <c r="G30" s="31">
        <v>29.0</v>
      </c>
      <c r="H30" s="31" t="str">
        <f>USOS!$A30&amp;" - "&amp;USOS!$B30&amp;" - "&amp;USOS!$C30</f>
        <v>SERVIÇO - Atividades Administrativas(inclusive segurança e educação) e Serviços Complementares - Grande</v>
      </c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</row>
    <row r="31" ht="39.0" customHeight="1">
      <c r="A31" s="31" t="s">
        <v>215</v>
      </c>
      <c r="B31" s="33" t="s">
        <v>67</v>
      </c>
      <c r="C31" s="31" t="s">
        <v>210</v>
      </c>
      <c r="D31" s="31" t="s">
        <v>224</v>
      </c>
      <c r="E31" s="31"/>
      <c r="F31" s="31" t="s">
        <v>208</v>
      </c>
      <c r="G31" s="31">
        <v>30.0</v>
      </c>
      <c r="H31" s="31" t="str">
        <f>USOS!$A31&amp;" - "&amp;USOS!$B31&amp;" - "&amp;USOS!$C31</f>
        <v>SERVIÇO - Atividades deSaúde e Serviços Sociais - Pequeno</v>
      </c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</row>
    <row r="32" ht="39.0" hidden="1" customHeight="1">
      <c r="A32" s="31" t="s">
        <v>215</v>
      </c>
      <c r="B32" s="33" t="s">
        <v>67</v>
      </c>
      <c r="C32" s="31" t="s">
        <v>212</v>
      </c>
      <c r="D32" s="31" t="s">
        <v>224</v>
      </c>
      <c r="E32" s="31"/>
      <c r="F32" s="31" t="s">
        <v>208</v>
      </c>
      <c r="G32" s="31">
        <v>31.0</v>
      </c>
      <c r="H32" s="31" t="str">
        <f>USOS!$A32&amp;" - "&amp;USOS!$B32&amp;" - "&amp;USOS!$C32</f>
        <v>SERVIÇO - Atividades deSaúde e Serviços Sociais - Médio</v>
      </c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</row>
    <row r="33" ht="39.0" hidden="1" customHeight="1">
      <c r="A33" s="31" t="s">
        <v>215</v>
      </c>
      <c r="B33" s="33" t="s">
        <v>67</v>
      </c>
      <c r="C33" s="31" t="s">
        <v>213</v>
      </c>
      <c r="D33" s="31" t="s">
        <v>224</v>
      </c>
      <c r="E33" s="31"/>
      <c r="F33" s="31" t="s">
        <v>208</v>
      </c>
      <c r="G33" s="31">
        <v>32.0</v>
      </c>
      <c r="H33" s="31" t="str">
        <f>USOS!$A33&amp;" - "&amp;USOS!$B33&amp;" - "&amp;USOS!$C33</f>
        <v>SERVIÇO - Atividades deSaúde e Serviços Sociais - Grande</v>
      </c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</row>
    <row r="34" ht="39.0" customHeight="1">
      <c r="A34" s="31" t="s">
        <v>215</v>
      </c>
      <c r="B34" s="33" t="s">
        <v>69</v>
      </c>
      <c r="C34" s="31" t="s">
        <v>210</v>
      </c>
      <c r="D34" s="31" t="s">
        <v>225</v>
      </c>
      <c r="E34" s="31"/>
      <c r="F34" s="31" t="s">
        <v>208</v>
      </c>
      <c r="G34" s="31">
        <v>33.0</v>
      </c>
      <c r="H34" s="31" t="str">
        <f>USOS!$A34&amp;" - "&amp;USOS!$B34&amp;" - "&amp;USOS!$C34</f>
        <v>SERVIÇO - Atividades de Artes, Cultura,  Esporte e Recreação - Pequeno</v>
      </c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</row>
    <row r="35" ht="39.0" hidden="1" customHeight="1">
      <c r="A35" s="31" t="s">
        <v>215</v>
      </c>
      <c r="B35" s="33" t="s">
        <v>69</v>
      </c>
      <c r="C35" s="31" t="s">
        <v>212</v>
      </c>
      <c r="D35" s="31" t="s">
        <v>225</v>
      </c>
      <c r="E35" s="31"/>
      <c r="F35" s="31" t="s">
        <v>208</v>
      </c>
      <c r="G35" s="31">
        <v>34.0</v>
      </c>
      <c r="H35" s="31" t="str">
        <f>USOS!$A35&amp;" - "&amp;USOS!$B35&amp;" - "&amp;USOS!$C35</f>
        <v>SERVIÇO - Atividades de Artes, Cultura,  Esporte e Recreação - Médio</v>
      </c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</row>
    <row r="36" ht="39.0" hidden="1" customHeight="1">
      <c r="A36" s="31" t="s">
        <v>215</v>
      </c>
      <c r="B36" s="33" t="s">
        <v>69</v>
      </c>
      <c r="C36" s="31" t="s">
        <v>213</v>
      </c>
      <c r="D36" s="31" t="s">
        <v>225</v>
      </c>
      <c r="E36" s="31"/>
      <c r="F36" s="31" t="s">
        <v>208</v>
      </c>
      <c r="G36" s="31">
        <v>35.0</v>
      </c>
      <c r="H36" s="31" t="str">
        <f>USOS!$A36&amp;" - "&amp;USOS!$B36&amp;" - "&amp;USOS!$C36</f>
        <v>SERVIÇO - Atividades de Artes, Cultura,  Esporte e Recreação - Grande</v>
      </c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</row>
    <row r="37" ht="39.0" customHeight="1">
      <c r="A37" s="31" t="s">
        <v>215</v>
      </c>
      <c r="B37" s="33" t="s">
        <v>71</v>
      </c>
      <c r="C37" s="31" t="s">
        <v>210</v>
      </c>
      <c r="D37" s="31" t="s">
        <v>226</v>
      </c>
      <c r="E37" s="31"/>
      <c r="F37" s="31" t="s">
        <v>208</v>
      </c>
      <c r="G37" s="31">
        <v>36.0</v>
      </c>
      <c r="H37" s="31" t="str">
        <f>USOS!$A37&amp;" - "&amp;USOS!$B37&amp;" - "&amp;USOS!$C37</f>
        <v>SERVIÇO - Outras Atividades e Serviços - Pequeno</v>
      </c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</row>
    <row r="38" ht="39.0" hidden="1" customHeight="1">
      <c r="A38" s="31" t="s">
        <v>215</v>
      </c>
      <c r="B38" s="33" t="s">
        <v>71</v>
      </c>
      <c r="C38" s="31" t="s">
        <v>212</v>
      </c>
      <c r="D38" s="31" t="s">
        <v>226</v>
      </c>
      <c r="E38" s="31"/>
      <c r="F38" s="31" t="s">
        <v>208</v>
      </c>
      <c r="G38" s="31">
        <v>37.0</v>
      </c>
      <c r="H38" s="31" t="str">
        <f>USOS!$A38&amp;" - "&amp;USOS!$B38&amp;" - "&amp;USOS!$C38</f>
        <v>SERVIÇO - Outras Atividades e Serviços - Médio</v>
      </c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</row>
    <row r="39" ht="39.0" hidden="1" customHeight="1">
      <c r="A39" s="31" t="s">
        <v>215</v>
      </c>
      <c r="B39" s="33" t="s">
        <v>71</v>
      </c>
      <c r="C39" s="31" t="s">
        <v>213</v>
      </c>
      <c r="D39" s="31" t="s">
        <v>226</v>
      </c>
      <c r="E39" s="31"/>
      <c r="F39" s="31" t="s">
        <v>208</v>
      </c>
      <c r="G39" s="31">
        <v>38.0</v>
      </c>
      <c r="H39" s="31" t="str">
        <f>USOS!$A39&amp;" - "&amp;USOS!$B39&amp;" - "&amp;USOS!$C39</f>
        <v>SERVIÇO - Outras Atividades e Serviços - Grande</v>
      </c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</row>
    <row r="40" ht="39.0" customHeight="1">
      <c r="A40" s="31" t="s">
        <v>215</v>
      </c>
      <c r="B40" s="31" t="s">
        <v>73</v>
      </c>
      <c r="C40" s="31" t="s">
        <v>210</v>
      </c>
      <c r="D40" s="31" t="s">
        <v>227</v>
      </c>
      <c r="E40" s="31"/>
      <c r="F40" s="31" t="s">
        <v>208</v>
      </c>
      <c r="G40" s="31">
        <v>39.0</v>
      </c>
      <c r="H40" s="31" t="str">
        <f>USOS!$A40&amp;" - "&amp;USOS!$B40&amp;" - "&amp;USOS!$C40</f>
        <v>SERVIÇO - Construção Civil - Pequeno</v>
      </c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</row>
    <row r="41" ht="39.0" hidden="1" customHeight="1">
      <c r="A41" s="31" t="s">
        <v>215</v>
      </c>
      <c r="B41" s="31" t="s">
        <v>73</v>
      </c>
      <c r="C41" s="31" t="s">
        <v>212</v>
      </c>
      <c r="D41" s="31" t="s">
        <v>228</v>
      </c>
      <c r="E41" s="31"/>
      <c r="F41" s="31" t="s">
        <v>208</v>
      </c>
      <c r="G41" s="31">
        <v>40.0</v>
      </c>
      <c r="H41" s="31" t="str">
        <f>USOS!$A41&amp;" - "&amp;USOS!$B41&amp;" - "&amp;USOS!$C41</f>
        <v>SERVIÇO - Construção Civil - Médio</v>
      </c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</row>
    <row r="42" ht="39.0" hidden="1" customHeight="1">
      <c r="A42" s="31" t="s">
        <v>215</v>
      </c>
      <c r="B42" s="31" t="s">
        <v>73</v>
      </c>
      <c r="C42" s="31" t="s">
        <v>213</v>
      </c>
      <c r="D42" s="31" t="s">
        <v>229</v>
      </c>
      <c r="E42" s="31"/>
      <c r="F42" s="31" t="s">
        <v>208</v>
      </c>
      <c r="G42" s="31">
        <v>41.0</v>
      </c>
      <c r="H42" s="31" t="str">
        <f>USOS!$A42&amp;" - "&amp;USOS!$B42&amp;" - "&amp;USOS!$C42</f>
        <v>SERVIÇO - Construção Civil - Grande</v>
      </c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</row>
    <row r="43" ht="39.0" customHeight="1">
      <c r="A43" s="31" t="s">
        <v>230</v>
      </c>
      <c r="B43" s="33" t="s">
        <v>74</v>
      </c>
      <c r="C43" s="31" t="s">
        <v>231</v>
      </c>
      <c r="D43" s="31">
        <v>1.0</v>
      </c>
      <c r="E43" s="31"/>
      <c r="F43" s="31"/>
      <c r="G43" s="31">
        <v>44.0</v>
      </c>
      <c r="H43" s="31" t="str">
        <f>USOS!$A43&amp;" - "&amp;USOS!$B43&amp;" - "&amp;USOS!$C43</f>
        <v>AGROSILVOPASTORIL - Agricultura, Pecuária e Serviços Relacionados - Todos</v>
      </c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</row>
    <row r="44" ht="39.0" customHeight="1">
      <c r="A44" s="31" t="s">
        <v>230</v>
      </c>
      <c r="B44" s="31" t="s">
        <v>76</v>
      </c>
      <c r="C44" s="31" t="s">
        <v>231</v>
      </c>
      <c r="D44" s="31">
        <v>2.0</v>
      </c>
      <c r="E44" s="31"/>
      <c r="F44" s="31"/>
      <c r="G44" s="31">
        <v>47.0</v>
      </c>
      <c r="H44" s="31" t="str">
        <f>USOS!$A44&amp;" - "&amp;USOS!$B44&amp;" - "&amp;USOS!$C44</f>
        <v>AGROSILVOPASTORIL - Produção Florestal - Todos</v>
      </c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</row>
    <row r="45" ht="39.0" customHeight="1">
      <c r="A45" s="31" t="s">
        <v>230</v>
      </c>
      <c r="B45" s="31" t="s">
        <v>77</v>
      </c>
      <c r="C45" s="31" t="s">
        <v>231</v>
      </c>
      <c r="D45" s="31">
        <v>3.0</v>
      </c>
      <c r="E45" s="31"/>
      <c r="F45" s="31"/>
      <c r="G45" s="31">
        <v>50.0</v>
      </c>
      <c r="H45" s="31" t="str">
        <f>USOS!$A45&amp;" - "&amp;USOS!$B45&amp;" - "&amp;USOS!$C45</f>
        <v>AGROSILVOPASTORIL - Pesca e Aquicultura - Todos</v>
      </c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</row>
    <row r="46" ht="39.0" customHeight="1">
      <c r="A46" s="31" t="s">
        <v>232</v>
      </c>
      <c r="B46" s="31" t="s">
        <v>78</v>
      </c>
      <c r="C46" s="31" t="s">
        <v>231</v>
      </c>
      <c r="D46" s="31">
        <v>5.0</v>
      </c>
      <c r="E46" s="31"/>
      <c r="F46" s="31"/>
      <c r="G46" s="31">
        <v>52.0</v>
      </c>
      <c r="H46" s="31" t="str">
        <f>USOS!$A46&amp;" - "&amp;USOS!$B46&amp;" - "&amp;USOS!$C46</f>
        <v>INDÚSTRIA EXTRATIVISTA - Extração de Carvão Mineral - Todos</v>
      </c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</row>
    <row r="47" ht="39.0" customHeight="1">
      <c r="A47" s="31" t="s">
        <v>232</v>
      </c>
      <c r="B47" s="33" t="s">
        <v>79</v>
      </c>
      <c r="C47" s="31" t="s">
        <v>231</v>
      </c>
      <c r="D47" s="31">
        <v>6.0</v>
      </c>
      <c r="E47" s="31"/>
      <c r="F47" s="31"/>
      <c r="G47" s="31">
        <v>55.0</v>
      </c>
      <c r="H47" s="31" t="str">
        <f>USOS!$A47&amp;" - "&amp;USOS!$B47&amp;" - "&amp;USOS!$C47</f>
        <v>INDÚSTRIA EXTRATIVISTA - Extração de Petróleo e Gás Natural - Todos</v>
      </c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</row>
    <row r="48" ht="39.0" customHeight="1">
      <c r="A48" s="31" t="s">
        <v>232</v>
      </c>
      <c r="B48" s="31" t="s">
        <v>81</v>
      </c>
      <c r="C48" s="31" t="s">
        <v>231</v>
      </c>
      <c r="D48" s="31">
        <v>7.0</v>
      </c>
      <c r="E48" s="31"/>
      <c r="F48" s="31"/>
      <c r="G48" s="31">
        <v>58.0</v>
      </c>
      <c r="H48" s="31" t="str">
        <f>USOS!$A48&amp;" - "&amp;USOS!$B48&amp;" - "&amp;USOS!$C48</f>
        <v>INDÚSTRIA EXTRATIVISTA - Extração de Minerais Metálicos  - Todos</v>
      </c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</row>
    <row r="49" ht="39.0" customHeight="1">
      <c r="A49" s="31" t="s">
        <v>232</v>
      </c>
      <c r="B49" s="33" t="s">
        <v>82</v>
      </c>
      <c r="C49" s="31" t="s">
        <v>231</v>
      </c>
      <c r="D49" s="31">
        <v>8.0</v>
      </c>
      <c r="E49" s="31"/>
      <c r="F49" s="31"/>
      <c r="G49" s="31">
        <v>61.0</v>
      </c>
      <c r="H49" s="31" t="str">
        <f>USOS!$A49&amp;" - "&amp;USOS!$B49&amp;" - "&amp;USOS!$C49</f>
        <v>INDÚSTRIA EXTRATIVISTA - Extração de Minerais Não Metálicos - Todos</v>
      </c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</row>
    <row r="50" ht="39.0" customHeight="1">
      <c r="A50" s="31" t="s">
        <v>232</v>
      </c>
      <c r="B50" s="33" t="s">
        <v>84</v>
      </c>
      <c r="C50" s="31" t="s">
        <v>231</v>
      </c>
      <c r="D50" s="31">
        <v>9.0</v>
      </c>
      <c r="E50" s="31"/>
      <c r="F50" s="31"/>
      <c r="G50" s="31">
        <v>64.0</v>
      </c>
      <c r="H50" s="31" t="str">
        <f>USOS!$A50&amp;" - "&amp;USOS!$B50&amp;" - "&amp;USOS!$C50</f>
        <v>INDÚSTRIA EXTRATIVISTA - Atividades de Apoio à Extração de Minerais - Todos</v>
      </c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</row>
    <row r="51" ht="39.0" customHeight="1">
      <c r="A51" s="31" t="s">
        <v>233</v>
      </c>
      <c r="B51" s="31" t="s">
        <v>86</v>
      </c>
      <c r="C51" s="31" t="s">
        <v>234</v>
      </c>
      <c r="D51" s="31">
        <v>10.0</v>
      </c>
      <c r="E51" s="31"/>
      <c r="F51" s="31"/>
      <c r="G51" s="31">
        <v>66.0</v>
      </c>
      <c r="H51" s="31" t="str">
        <f>USOS!$A51&amp;" - "&amp;USOS!$B51&amp;" - "&amp;USOS!$C51</f>
        <v>INDÚSTRIA DE TRANSFORMAÇÃO - Fabricação de Produtos Alimentícios - todos</v>
      </c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</row>
    <row r="52" ht="39.0" customHeight="1">
      <c r="A52" s="31" t="s">
        <v>233</v>
      </c>
      <c r="B52" s="31" t="s">
        <v>87</v>
      </c>
      <c r="C52" s="31" t="s">
        <v>234</v>
      </c>
      <c r="D52" s="31">
        <v>11.0</v>
      </c>
      <c r="E52" s="31"/>
      <c r="F52" s="31"/>
      <c r="G52" s="31">
        <v>67.0</v>
      </c>
      <c r="H52" s="31" t="str">
        <f>USOS!$A52&amp;" - "&amp;USOS!$B52&amp;" - "&amp;USOS!$C52</f>
        <v>INDÚSTRIA DE TRANSFORMAÇÃO - Fabricação de Bebidas - todos</v>
      </c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</row>
    <row r="53" ht="39.0" customHeight="1">
      <c r="A53" s="31" t="s">
        <v>233</v>
      </c>
      <c r="B53" s="31" t="s">
        <v>88</v>
      </c>
      <c r="C53" s="31" t="s">
        <v>234</v>
      </c>
      <c r="D53" s="31">
        <v>12.0</v>
      </c>
      <c r="E53" s="31"/>
      <c r="F53" s="31"/>
      <c r="G53" s="31">
        <v>68.0</v>
      </c>
      <c r="H53" s="31" t="str">
        <f>USOS!$A53&amp;" - "&amp;USOS!$B53&amp;" - "&amp;USOS!$C53</f>
        <v>INDÚSTRIA DE TRANSFORMAÇÃO - Fabricação de Produtos de Fumo - todos</v>
      </c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</row>
    <row r="54" ht="39.0" customHeight="1">
      <c r="A54" s="31" t="s">
        <v>233</v>
      </c>
      <c r="B54" s="31" t="s">
        <v>89</v>
      </c>
      <c r="C54" s="31" t="s">
        <v>234</v>
      </c>
      <c r="D54" s="31">
        <v>13.0</v>
      </c>
      <c r="E54" s="31"/>
      <c r="F54" s="31"/>
      <c r="G54" s="31">
        <v>69.0</v>
      </c>
      <c r="H54" s="31" t="str">
        <f>USOS!$A54&amp;" - "&amp;USOS!$B54&amp;" - "&amp;USOS!$C54</f>
        <v>INDÚSTRIA DE TRANSFORMAÇÃO - Fabricação de Produtos Têxteis - todos</v>
      </c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</row>
    <row r="55" ht="39.0" customHeight="1">
      <c r="A55" s="31" t="s">
        <v>233</v>
      </c>
      <c r="B55" s="33" t="s">
        <v>90</v>
      </c>
      <c r="C55" s="31" t="s">
        <v>234</v>
      </c>
      <c r="D55" s="31">
        <v>14.0</v>
      </c>
      <c r="E55" s="31"/>
      <c r="F55" s="31"/>
      <c r="G55" s="31">
        <v>70.0</v>
      </c>
      <c r="H55" s="31" t="str">
        <f>USOS!$A55&amp;" - "&amp;USOS!$B55&amp;" - "&amp;USOS!$C55</f>
        <v>INDÚSTRIA DE TRANSFORMAÇÃO - Confecçãode Artigosde Vestuário e Acessórios - todos</v>
      </c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</row>
    <row r="56" ht="39.0" customHeight="1">
      <c r="A56" s="31" t="s">
        <v>233</v>
      </c>
      <c r="B56" s="33" t="s">
        <v>92</v>
      </c>
      <c r="C56" s="31" t="s">
        <v>234</v>
      </c>
      <c r="D56" s="31">
        <v>15.0</v>
      </c>
      <c r="E56" s="31"/>
      <c r="F56" s="31"/>
      <c r="G56" s="31">
        <v>71.0</v>
      </c>
      <c r="H56" s="31" t="str">
        <f>USOS!$A56&amp;" - "&amp;USOS!$B56&amp;" - "&amp;USOS!$C56</f>
        <v>INDÚSTRIA DE TRANSFORMAÇÃO - Preparação de Couros e Fabricação de Artefatos de Couro - todos</v>
      </c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</row>
    <row r="57" ht="39.0" customHeight="1">
      <c r="A57" s="31" t="s">
        <v>233</v>
      </c>
      <c r="B57" s="31" t="s">
        <v>94</v>
      </c>
      <c r="C57" s="31" t="s">
        <v>234</v>
      </c>
      <c r="D57" s="31">
        <v>16.0</v>
      </c>
      <c r="E57" s="31"/>
      <c r="F57" s="31"/>
      <c r="G57" s="31">
        <v>72.0</v>
      </c>
      <c r="H57" s="31" t="str">
        <f>USOS!$A57&amp;" - "&amp;USOS!$B57&amp;" - "&amp;USOS!$C57</f>
        <v>INDÚSTRIA DE TRANSFORMAÇÃO - Fabricação de Produtos de Madeira - todos</v>
      </c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</row>
    <row r="58" ht="39.0" customHeight="1">
      <c r="A58" s="31" t="s">
        <v>233</v>
      </c>
      <c r="B58" s="33" t="s">
        <v>95</v>
      </c>
      <c r="C58" s="31" t="s">
        <v>234</v>
      </c>
      <c r="D58" s="31">
        <v>17.0</v>
      </c>
      <c r="E58" s="31"/>
      <c r="F58" s="31"/>
      <c r="G58" s="31">
        <v>73.0</v>
      </c>
      <c r="H58" s="31" t="str">
        <f>USOS!$A58&amp;" - "&amp;USOS!$B58&amp;" - "&amp;USOS!$C58</f>
        <v>INDÚSTRIA DE TRANSFORMAÇÃO - Fabricação de Celulose, Papel e Produtos do Papel - todos</v>
      </c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</row>
    <row r="59" ht="39.0" customHeight="1">
      <c r="A59" s="31" t="s">
        <v>233</v>
      </c>
      <c r="B59" s="31" t="s">
        <v>97</v>
      </c>
      <c r="C59" s="31" t="s">
        <v>234</v>
      </c>
      <c r="D59" s="31">
        <v>18.0</v>
      </c>
      <c r="E59" s="31"/>
      <c r="F59" s="31"/>
      <c r="G59" s="31">
        <v>74.0</v>
      </c>
      <c r="H59" s="31" t="str">
        <f>USOS!$A59&amp;" - "&amp;USOS!$B59&amp;" - "&amp;USOS!$C59</f>
        <v>INDÚSTRIA DE TRANSFORMAÇÃO - Impressão e Reprodução de Gravações - todos</v>
      </c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</row>
    <row r="60" ht="39.0" customHeight="1">
      <c r="A60" s="31" t="s">
        <v>233</v>
      </c>
      <c r="B60" s="33" t="s">
        <v>98</v>
      </c>
      <c r="C60" s="31" t="s">
        <v>234</v>
      </c>
      <c r="D60" s="31">
        <v>19.0</v>
      </c>
      <c r="E60" s="31"/>
      <c r="F60" s="31"/>
      <c r="G60" s="31">
        <v>75.0</v>
      </c>
      <c r="H60" s="31" t="str">
        <f>USOS!$A60&amp;" - "&amp;USOS!$B60&amp;" - "&amp;USOS!$C60</f>
        <v>INDÚSTRIA DE TRANSFORMAÇÃO - Fabricação de Coque, de Produtos Derivados de Petróleo e de Biocombustíveis. - todos</v>
      </c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</row>
    <row r="61" ht="39.0" customHeight="1">
      <c r="A61" s="31" t="s">
        <v>233</v>
      </c>
      <c r="B61" s="31" t="s">
        <v>100</v>
      </c>
      <c r="C61" s="31" t="s">
        <v>234</v>
      </c>
      <c r="D61" s="31">
        <v>20.0</v>
      </c>
      <c r="E61" s="31"/>
      <c r="F61" s="31"/>
      <c r="G61" s="31">
        <v>76.0</v>
      </c>
      <c r="H61" s="31" t="str">
        <f>USOS!$A61&amp;" - "&amp;USOS!$B61&amp;" - "&amp;USOS!$C61</f>
        <v>INDÚSTRIA DE TRANSFORMAÇÃO - Fabricação de Produtos Químicos - todos</v>
      </c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</row>
    <row r="62" ht="39.0" customHeight="1">
      <c r="A62" s="31" t="s">
        <v>233</v>
      </c>
      <c r="B62" s="33" t="s">
        <v>101</v>
      </c>
      <c r="C62" s="31" t="s">
        <v>234</v>
      </c>
      <c r="D62" s="31">
        <v>21.0</v>
      </c>
      <c r="E62" s="31"/>
      <c r="F62" s="31"/>
      <c r="G62" s="31">
        <v>77.0</v>
      </c>
      <c r="H62" s="31" t="str">
        <f>USOS!$A62&amp;" - "&amp;USOS!$B62&amp;" - "&amp;USOS!$C62</f>
        <v>INDÚSTRIA DE TRANSFORMAÇÃO - Fabricação de Produtos Farmoquímicos e Farmacêuticos - todos</v>
      </c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</row>
    <row r="63" ht="39.0" customHeight="1">
      <c r="A63" s="31" t="s">
        <v>233</v>
      </c>
      <c r="B63" s="33" t="s">
        <v>103</v>
      </c>
      <c r="C63" s="31" t="s">
        <v>234</v>
      </c>
      <c r="D63" s="31">
        <v>22.0</v>
      </c>
      <c r="E63" s="31"/>
      <c r="F63" s="31"/>
      <c r="G63" s="31">
        <v>78.0</v>
      </c>
      <c r="H63" s="31" t="str">
        <f>USOS!$A63&amp;" - "&amp;USOS!$B63&amp;" - "&amp;USOS!$C63</f>
        <v>INDÚSTRIA DE TRANSFORMAÇÃO - Fabricação de Produtos de Borracha e de Material Plástico - todos</v>
      </c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</row>
    <row r="64" ht="39.0" customHeight="1">
      <c r="A64" s="31" t="s">
        <v>233</v>
      </c>
      <c r="B64" s="31" t="s">
        <v>105</v>
      </c>
      <c r="C64" s="31" t="s">
        <v>234</v>
      </c>
      <c r="D64" s="31">
        <v>23.0</v>
      </c>
      <c r="E64" s="31">
        <v>1.0</v>
      </c>
      <c r="F64" s="31" t="s">
        <v>235</v>
      </c>
      <c r="G64" s="31">
        <v>79.0</v>
      </c>
      <c r="H64" s="31" t="str">
        <f>USOS!$A64&amp;" - "&amp;USOS!$B64&amp;" - "&amp;USOS!$C64</f>
        <v>INDÚSTRIA DE TRANSFORMAÇÃO - Fabricação de Produtos de Minerais não metalicos - todos</v>
      </c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</row>
    <row r="65" ht="39.0" customHeight="1">
      <c r="A65" s="31" t="s">
        <v>233</v>
      </c>
      <c r="B65" s="31" t="s">
        <v>106</v>
      </c>
      <c r="C65" s="31" t="s">
        <v>234</v>
      </c>
      <c r="D65" s="31">
        <v>24.0</v>
      </c>
      <c r="E65" s="31"/>
      <c r="F65" s="31"/>
      <c r="G65" s="31">
        <v>80.0</v>
      </c>
      <c r="H65" s="31" t="str">
        <f>USOS!$A65&amp;" - "&amp;USOS!$B65&amp;" - "&amp;USOS!$C65</f>
        <v>INDÚSTRIA DE TRANSFORMAÇÃO - Metalurgia - todos</v>
      </c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</row>
    <row r="66" ht="39.0" customHeight="1">
      <c r="A66" s="31" t="s">
        <v>233</v>
      </c>
      <c r="B66" s="33" t="s">
        <v>107</v>
      </c>
      <c r="C66" s="31" t="s">
        <v>234</v>
      </c>
      <c r="D66" s="31">
        <v>25.0</v>
      </c>
      <c r="E66" s="31"/>
      <c r="F66" s="31"/>
      <c r="G66" s="31">
        <v>81.0</v>
      </c>
      <c r="H66" s="31" t="str">
        <f>USOS!$A66&amp;" - "&amp;USOS!$B66&amp;" - "&amp;USOS!$C66</f>
        <v>INDÚSTRIA DE TRANSFORMAÇÃO - Fabricação de Produtos de Metal, exceto Máquinas e Equipamentos. - todos</v>
      </c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</row>
    <row r="67" ht="39.0" customHeight="1">
      <c r="A67" s="31" t="s">
        <v>233</v>
      </c>
      <c r="B67" s="33" t="s">
        <v>109</v>
      </c>
      <c r="C67" s="31" t="s">
        <v>234</v>
      </c>
      <c r="D67" s="31">
        <v>26.0</v>
      </c>
      <c r="E67" s="31"/>
      <c r="F67" s="31"/>
      <c r="G67" s="31">
        <v>82.0</v>
      </c>
      <c r="H67" s="31" t="str">
        <f>USOS!$A67&amp;" - "&amp;USOS!$B67&amp;" - "&amp;USOS!$C67</f>
        <v>INDÚSTRIA DE TRANSFORMAÇÃO - Fabricação de equipamentos de Informática, Produtos Eletrônicos e Ópticos. - todos</v>
      </c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</row>
    <row r="68" ht="39.0" customHeight="1">
      <c r="A68" s="31" t="s">
        <v>233</v>
      </c>
      <c r="B68" s="33" t="s">
        <v>111</v>
      </c>
      <c r="C68" s="31" t="s">
        <v>234</v>
      </c>
      <c r="D68" s="31">
        <v>27.0</v>
      </c>
      <c r="E68" s="31"/>
      <c r="F68" s="31"/>
      <c r="G68" s="31">
        <v>83.0</v>
      </c>
      <c r="H68" s="31" t="str">
        <f>USOS!$A68&amp;" - "&amp;USOS!$B68&amp;" - "&amp;USOS!$C68</f>
        <v>INDÚSTRIA DE TRANSFORMAÇÃO - Fabricação de máquinas, Aparelhos e materiais Elétricos. - todos</v>
      </c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</row>
    <row r="69" ht="39.0" customHeight="1">
      <c r="A69" s="31" t="s">
        <v>233</v>
      </c>
      <c r="B69" s="33" t="s">
        <v>111</v>
      </c>
      <c r="C69" s="31" t="s">
        <v>234</v>
      </c>
      <c r="D69" s="31">
        <v>28.0</v>
      </c>
      <c r="E69" s="31"/>
      <c r="F69" s="31"/>
      <c r="G69" s="31">
        <v>84.0</v>
      </c>
      <c r="H69" s="31" t="str">
        <f>USOS!$A69&amp;" - "&amp;USOS!$B69&amp;" - "&amp;USOS!$C69</f>
        <v>INDÚSTRIA DE TRANSFORMAÇÃO - Fabricação de máquinas, Aparelhos e materiais Elétricos. - todos</v>
      </c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</row>
    <row r="70" ht="39.0" customHeight="1">
      <c r="A70" s="31" t="s">
        <v>233</v>
      </c>
      <c r="B70" s="33" t="s">
        <v>113</v>
      </c>
      <c r="C70" s="31" t="s">
        <v>234</v>
      </c>
      <c r="D70" s="31">
        <v>29.0</v>
      </c>
      <c r="E70" s="31"/>
      <c r="F70" s="31"/>
      <c r="G70" s="31">
        <v>85.0</v>
      </c>
      <c r="H70" s="31" t="str">
        <f>USOS!$A70&amp;" - "&amp;USOS!$B70&amp;" - "&amp;USOS!$C70</f>
        <v>INDÚSTRIA DE TRANSFORMAÇÃO - Fabricação de Veículos Automotores, Reboques e Carrocerias. - todos</v>
      </c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</row>
    <row r="71" ht="39.0" customHeight="1">
      <c r="A71" s="31" t="s">
        <v>233</v>
      </c>
      <c r="B71" s="33" t="s">
        <v>115</v>
      </c>
      <c r="C71" s="31" t="s">
        <v>234</v>
      </c>
      <c r="D71" s="31">
        <v>30.0</v>
      </c>
      <c r="E71" s="31"/>
      <c r="F71" s="31"/>
      <c r="G71" s="31">
        <v>86.0</v>
      </c>
      <c r="H71" s="31" t="str">
        <f>USOS!$A71&amp;" - "&amp;USOS!$B71&amp;" - "&amp;USOS!$C71</f>
        <v>INDÚSTRIA DE TRANSFORMAÇÃO - Fabricação de outros Equipamentos de Transportes, exceto Veículos Automotores. - todos</v>
      </c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</row>
    <row r="72" ht="39.0" customHeight="1">
      <c r="A72" s="31" t="s">
        <v>233</v>
      </c>
      <c r="B72" s="31" t="s">
        <v>117</v>
      </c>
      <c r="C72" s="31" t="s">
        <v>234</v>
      </c>
      <c r="D72" s="31">
        <v>31.0</v>
      </c>
      <c r="E72" s="31"/>
      <c r="F72" s="31"/>
      <c r="G72" s="31">
        <v>87.0</v>
      </c>
      <c r="H72" s="31" t="str">
        <f>USOS!$A72&amp;" - "&amp;USOS!$B72&amp;" - "&amp;USOS!$C72</f>
        <v>INDÚSTRIA DE TRANSFORMAÇÃO - Fabricação de móveis - todos</v>
      </c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</row>
    <row r="73" ht="39.0" customHeight="1">
      <c r="A73" s="31" t="s">
        <v>233</v>
      </c>
      <c r="B73" s="31" t="s">
        <v>118</v>
      </c>
      <c r="C73" s="31" t="s">
        <v>234</v>
      </c>
      <c r="D73" s="31">
        <v>32.0</v>
      </c>
      <c r="E73" s="31"/>
      <c r="F73" s="31"/>
      <c r="G73" s="31">
        <v>88.0</v>
      </c>
      <c r="H73" s="31" t="str">
        <f>USOS!$A73&amp;" - "&amp;USOS!$B73&amp;" - "&amp;USOS!$C73</f>
        <v>INDÚSTRIA DE TRANSFORMAÇÃO - Fabricação de Produtos Diversos - todos</v>
      </c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</row>
    <row r="74" ht="39.0" customHeight="1">
      <c r="A74" s="31" t="s">
        <v>233</v>
      </c>
      <c r="B74" s="34" t="s">
        <v>119</v>
      </c>
      <c r="C74" s="31" t="s">
        <v>234</v>
      </c>
      <c r="D74" s="31">
        <v>33.0</v>
      </c>
      <c r="E74" s="31"/>
      <c r="F74" s="31"/>
      <c r="G74" s="31">
        <v>89.0</v>
      </c>
      <c r="H74" s="31" t="str">
        <f>USOS!$A74&amp;" - "&amp;USOS!$B74&amp;" - "&amp;USOS!$C74</f>
        <v>INDÚSTRIA DE TRANSFORMAÇÃO - Manutenção, Reparação e Instalação de Máquinas e Equipamentos. - todos</v>
      </c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</row>
    <row r="75" ht="39.0" customHeight="1">
      <c r="A75" s="31" t="s">
        <v>236</v>
      </c>
      <c r="B75" s="31" t="s">
        <v>237</v>
      </c>
      <c r="C75" s="31" t="s">
        <v>234</v>
      </c>
      <c r="D75" s="31">
        <v>35.0</v>
      </c>
      <c r="E75" s="31"/>
      <c r="F75" s="31"/>
      <c r="G75" s="31">
        <f t="shared" ref="G75:G79" si="1">G74+1</f>
        <v>90</v>
      </c>
      <c r="H75" s="31" t="str">
        <f>USOS!$A75&amp;" - "&amp;USOS!$B75&amp;" - "&amp;USOS!$C75</f>
        <v>INFRAESTRUTURA - Geração, Transmissão e Distribuição de Energia - todos</v>
      </c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</row>
    <row r="76" ht="39.0" customHeight="1">
      <c r="A76" s="31" t="s">
        <v>236</v>
      </c>
      <c r="B76" s="31" t="s">
        <v>238</v>
      </c>
      <c r="C76" s="31" t="s">
        <v>234</v>
      </c>
      <c r="D76" s="31">
        <v>36.0</v>
      </c>
      <c r="E76" s="31"/>
      <c r="F76" s="31"/>
      <c r="G76" s="31">
        <f t="shared" si="1"/>
        <v>91</v>
      </c>
      <c r="H76" s="31" t="str">
        <f>USOS!$A76&amp;" - "&amp;USOS!$B76&amp;" - "&amp;USOS!$C76</f>
        <v>INFRAESTRUTURA - Captação, Tratamento e Distribuição de Água - todos</v>
      </c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</row>
    <row r="77" ht="39.0" customHeight="1">
      <c r="A77" s="31" t="s">
        <v>236</v>
      </c>
      <c r="B77" s="31" t="s">
        <v>239</v>
      </c>
      <c r="C77" s="31" t="s">
        <v>234</v>
      </c>
      <c r="D77" s="31">
        <v>37.0</v>
      </c>
      <c r="E77" s="31"/>
      <c r="F77" s="31"/>
      <c r="G77" s="31">
        <f t="shared" si="1"/>
        <v>92</v>
      </c>
      <c r="H77" s="31" t="str">
        <f>USOS!$A77&amp;" - "&amp;USOS!$B77&amp;" - "&amp;USOS!$C77</f>
        <v>INFRAESTRUTURA - Coleta, Tratamento e Disposição de Resíduos Líquidos - todos</v>
      </c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</row>
    <row r="78" ht="39.0" customHeight="1">
      <c r="A78" s="31" t="s">
        <v>236</v>
      </c>
      <c r="B78" s="31" t="s">
        <v>240</v>
      </c>
      <c r="C78" s="31" t="s">
        <v>234</v>
      </c>
      <c r="D78" s="31">
        <v>38.0</v>
      </c>
      <c r="E78" s="31"/>
      <c r="F78" s="31"/>
      <c r="G78" s="31">
        <f t="shared" si="1"/>
        <v>93</v>
      </c>
      <c r="H78" s="31" t="str">
        <f>USOS!$A78&amp;" - "&amp;USOS!$B78&amp;" - "&amp;USOS!$C78</f>
        <v>INFRAESTRUTURA - Coleta, Tratamento e Disposição de Resíduos Sólidos - todos</v>
      </c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</row>
    <row r="79" ht="39.0" customHeight="1">
      <c r="A79" s="31" t="s">
        <v>236</v>
      </c>
      <c r="B79" s="31" t="s">
        <v>241</v>
      </c>
      <c r="C79" s="31" t="s">
        <v>234</v>
      </c>
      <c r="D79" s="31">
        <v>39.0</v>
      </c>
      <c r="E79" s="31"/>
      <c r="F79" s="31"/>
      <c r="G79" s="31">
        <f t="shared" si="1"/>
        <v>94</v>
      </c>
      <c r="H79" s="31" t="str">
        <f>USOS!$A79&amp;" - "&amp;USOS!$B79&amp;" - "&amp;USOS!$C79</f>
        <v>INFRAESTRUTURA - Descontaminação e Outros Serviços de Gestão de Resíduos - todos</v>
      </c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</row>
    <row r="80" ht="39.0" customHeight="1">
      <c r="A80" s="32"/>
      <c r="B80" s="32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</row>
    <row r="81" ht="39.0" customHeight="1">
      <c r="A81" s="32"/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</row>
    <row r="82" ht="39.0" customHeight="1">
      <c r="A82" s="32"/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</row>
    <row r="83" ht="39.0" customHeight="1">
      <c r="A83" s="32"/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</row>
    <row r="84" ht="39.0" customHeight="1">
      <c r="A84" s="32"/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</row>
    <row r="85" ht="39.0" customHeight="1">
      <c r="A85" s="32"/>
      <c r="B85" s="32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</row>
    <row r="86" ht="39.0" customHeight="1">
      <c r="A86" s="32"/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</row>
    <row r="87" ht="39.0" customHeight="1">
      <c r="A87" s="32"/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</row>
    <row r="88" ht="39.0" customHeight="1">
      <c r="A88" s="32"/>
      <c r="B88" s="32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</row>
    <row r="89" ht="39.0" customHeight="1">
      <c r="A89" s="32"/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</row>
    <row r="90" ht="39.0" customHeight="1">
      <c r="A90" s="32"/>
      <c r="B90" s="32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</row>
    <row r="91" ht="39.0" customHeight="1">
      <c r="A91" s="32"/>
      <c r="B91" s="32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</row>
    <row r="92" ht="39.0" customHeight="1">
      <c r="A92" s="32"/>
      <c r="B92" s="32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</row>
    <row r="93" ht="39.0" customHeight="1">
      <c r="A93" s="32"/>
      <c r="B93" s="32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</row>
    <row r="94" ht="39.0" customHeight="1">
      <c r="A94" s="32"/>
      <c r="B94" s="32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</row>
    <row r="95" ht="39.0" customHeight="1">
      <c r="A95" s="32"/>
      <c r="B95" s="32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</row>
    <row r="96" ht="39.0" customHeight="1">
      <c r="A96" s="32"/>
      <c r="B96" s="32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</row>
    <row r="97" ht="39.0" customHeight="1">
      <c r="A97" s="32"/>
      <c r="B97" s="32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</row>
    <row r="98" ht="39.0" customHeight="1">
      <c r="A98" s="32"/>
      <c r="B98" s="32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</row>
    <row r="99" ht="39.0" customHeight="1">
      <c r="A99" s="32"/>
      <c r="B99" s="32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</row>
    <row r="100" ht="39.0" customHeight="1">
      <c r="A100" s="32"/>
      <c r="B100" s="32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</row>
    <row r="101" ht="39.0" customHeight="1">
      <c r="A101" s="32"/>
      <c r="B101" s="32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</row>
    <row r="102" ht="39.0" customHeight="1">
      <c r="A102" s="32"/>
      <c r="B102" s="32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</row>
    <row r="103" ht="39.0" customHeight="1">
      <c r="A103" s="32"/>
      <c r="B103" s="32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</row>
    <row r="104" ht="39.0" customHeight="1">
      <c r="A104" s="32"/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</row>
    <row r="105" ht="39.0" customHeight="1">
      <c r="A105" s="32"/>
      <c r="B105" s="32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</row>
    <row r="106" ht="39.0" customHeight="1">
      <c r="A106" s="32"/>
      <c r="B106" s="32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</row>
    <row r="107" ht="39.0" customHeight="1">
      <c r="A107" s="32"/>
      <c r="B107" s="32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</row>
    <row r="108" ht="39.0" customHeight="1">
      <c r="A108" s="32"/>
      <c r="B108" s="32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</row>
    <row r="109" ht="39.0" customHeight="1">
      <c r="A109" s="32"/>
      <c r="B109" s="32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</row>
    <row r="110" ht="39.0" customHeight="1">
      <c r="A110" s="32"/>
      <c r="B110" s="32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</row>
    <row r="111" ht="39.0" customHeight="1">
      <c r="A111" s="32"/>
      <c r="B111" s="32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</row>
    <row r="112" ht="39.0" customHeight="1">
      <c r="A112" s="32"/>
      <c r="B112" s="32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</row>
    <row r="113" ht="39.0" customHeight="1">
      <c r="A113" s="32"/>
      <c r="B113" s="32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</row>
    <row r="114" ht="39.0" customHeight="1">
      <c r="A114" s="32"/>
      <c r="B114" s="32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</row>
    <row r="115" ht="39.0" customHeight="1">
      <c r="A115" s="32"/>
      <c r="B115" s="32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</row>
    <row r="116" ht="39.0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</row>
    <row r="117" ht="39.0" customHeight="1">
      <c r="A117" s="32"/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</row>
    <row r="118" ht="39.0" customHeight="1">
      <c r="A118" s="32"/>
      <c r="B118" s="32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</row>
    <row r="119" ht="39.0" customHeight="1">
      <c r="A119" s="32"/>
      <c r="B119" s="32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</row>
    <row r="120" ht="39.0" customHeight="1">
      <c r="A120" s="32"/>
      <c r="B120" s="32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</row>
    <row r="121" ht="39.0" customHeight="1">
      <c r="A121" s="32"/>
      <c r="B121" s="32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</row>
    <row r="122" ht="39.0" customHeight="1">
      <c r="A122" s="32"/>
      <c r="B122" s="32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</row>
    <row r="123" ht="39.0" customHeight="1">
      <c r="A123" s="32"/>
      <c r="B123" s="32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</row>
    <row r="124" ht="39.0" customHeight="1">
      <c r="A124" s="32"/>
      <c r="B124" s="32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</row>
    <row r="125" ht="39.0" customHeight="1">
      <c r="A125" s="32"/>
      <c r="B125" s="32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</row>
    <row r="126" ht="39.0" customHeight="1">
      <c r="A126" s="32"/>
      <c r="B126" s="32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</row>
    <row r="127" ht="39.0" customHeight="1">
      <c r="A127" s="32"/>
      <c r="B127" s="32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</row>
    <row r="128" ht="39.0" customHeight="1">
      <c r="A128" s="32"/>
      <c r="B128" s="32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</row>
    <row r="129" ht="39.0" customHeight="1">
      <c r="A129" s="32"/>
      <c r="B129" s="32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</row>
    <row r="130" ht="39.0" customHeight="1">
      <c r="A130" s="32"/>
      <c r="B130" s="32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</row>
    <row r="131" ht="39.0" customHeight="1">
      <c r="A131" s="32"/>
      <c r="B131" s="32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</row>
    <row r="132" ht="39.0" customHeight="1">
      <c r="A132" s="32"/>
      <c r="B132" s="32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</row>
    <row r="133" ht="39.0" customHeight="1">
      <c r="A133" s="32"/>
      <c r="B133" s="32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</row>
    <row r="134" ht="39.0" customHeight="1">
      <c r="A134" s="32"/>
      <c r="B134" s="32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</row>
    <row r="135" ht="39.0" customHeight="1">
      <c r="A135" s="32"/>
      <c r="B135" s="32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</row>
    <row r="136" ht="39.0" customHeight="1">
      <c r="A136" s="32"/>
      <c r="B136" s="32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</row>
    <row r="137" ht="39.0" customHeight="1">
      <c r="A137" s="32"/>
      <c r="B137" s="32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</row>
    <row r="138" ht="39.0" customHeight="1">
      <c r="A138" s="32"/>
      <c r="B138" s="32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</row>
    <row r="139" ht="39.0" customHeight="1">
      <c r="A139" s="32"/>
      <c r="B139" s="32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</row>
    <row r="140" ht="39.0" customHeight="1">
      <c r="A140" s="32"/>
      <c r="B140" s="32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</row>
    <row r="141" ht="39.0" customHeight="1">
      <c r="A141" s="32"/>
      <c r="B141" s="32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</row>
    <row r="142" ht="39.0" customHeight="1">
      <c r="A142" s="32"/>
      <c r="B142" s="32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</row>
    <row r="143" ht="39.0" customHeight="1">
      <c r="A143" s="32"/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</row>
    <row r="144" ht="39.0" customHeight="1">
      <c r="A144" s="32"/>
      <c r="B144" s="32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</row>
    <row r="145" ht="39.0" customHeight="1">
      <c r="A145" s="32"/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</row>
    <row r="146" ht="39.0" customHeight="1">
      <c r="A146" s="32"/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</row>
    <row r="147" ht="39.0" customHeight="1">
      <c r="A147" s="32"/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</row>
    <row r="148" ht="39.0" customHeight="1">
      <c r="A148" s="32"/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</row>
    <row r="149" ht="39.0" customHeight="1">
      <c r="A149" s="32"/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</row>
    <row r="150" ht="39.0" customHeight="1">
      <c r="A150" s="32"/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</row>
    <row r="151" ht="39.0" customHeight="1">
      <c r="A151" s="32"/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</row>
    <row r="152" ht="39.0" customHeight="1">
      <c r="A152" s="32"/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</row>
    <row r="153" ht="39.0" customHeight="1">
      <c r="A153" s="32"/>
      <c r="B153" s="32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</row>
    <row r="154" ht="39.0" customHeight="1">
      <c r="A154" s="32"/>
      <c r="B154" s="32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</row>
    <row r="155" ht="39.0" customHeight="1">
      <c r="A155" s="32"/>
      <c r="B155" s="32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</row>
    <row r="156" ht="39.0" customHeight="1">
      <c r="A156" s="32"/>
      <c r="B156" s="32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</row>
    <row r="157" ht="39.0" customHeight="1">
      <c r="A157" s="32"/>
      <c r="B157" s="32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</row>
    <row r="158" ht="39.0" customHeight="1">
      <c r="A158" s="32"/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</row>
    <row r="159" ht="39.0" customHeight="1">
      <c r="A159" s="32"/>
      <c r="B159" s="32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</row>
    <row r="160" ht="39.0" customHeight="1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</row>
    <row r="161" ht="39.0" customHeight="1">
      <c r="A161" s="32"/>
      <c r="B161" s="32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</row>
    <row r="162" ht="39.0" customHeight="1">
      <c r="A162" s="32"/>
      <c r="B162" s="32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</row>
    <row r="163" ht="39.0" customHeight="1">
      <c r="A163" s="32"/>
      <c r="B163" s="32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</row>
    <row r="164" ht="39.0" customHeight="1">
      <c r="A164" s="32"/>
      <c r="B164" s="32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</row>
    <row r="165" ht="39.0" customHeight="1">
      <c r="A165" s="32"/>
      <c r="B165" s="32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</row>
    <row r="166" ht="39.0" customHeight="1">
      <c r="A166" s="32"/>
      <c r="B166" s="32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</row>
    <row r="167" ht="39.0" customHeight="1">
      <c r="A167" s="32"/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</row>
    <row r="168" ht="39.0" customHeight="1">
      <c r="A168" s="32"/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</row>
    <row r="169" ht="39.0" customHeight="1">
      <c r="A169" s="32"/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</row>
    <row r="170" ht="39.0" customHeight="1">
      <c r="A170" s="32"/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</row>
    <row r="171" ht="39.0" customHeight="1">
      <c r="A171" s="32"/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</row>
    <row r="172" ht="39.0" customHeight="1">
      <c r="A172" s="32"/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</row>
    <row r="173" ht="39.0" customHeight="1">
      <c r="A173" s="32"/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</row>
    <row r="174" ht="39.0" customHeight="1">
      <c r="A174" s="32"/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</row>
    <row r="175" ht="39.0" customHeight="1">
      <c r="A175" s="32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</row>
    <row r="176" ht="39.0" customHeight="1">
      <c r="A176" s="32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</row>
    <row r="177" ht="39.0" customHeight="1">
      <c r="A177" s="32"/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</row>
    <row r="178" ht="39.0" customHeight="1">
      <c r="A178" s="32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</row>
    <row r="179" ht="39.0" customHeight="1">
      <c r="A179" s="32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</row>
    <row r="180" ht="39.0" customHeight="1">
      <c r="A180" s="32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</row>
    <row r="181" ht="39.0" customHeight="1">
      <c r="A181" s="32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</row>
    <row r="182" ht="39.0" customHeight="1">
      <c r="A182" s="32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</row>
    <row r="183" ht="39.0" customHeight="1">
      <c r="A183" s="32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</row>
    <row r="184" ht="39.0" customHeight="1">
      <c r="A184" s="32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</row>
    <row r="185" ht="39.0" customHeight="1">
      <c r="A185" s="32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</row>
    <row r="186" ht="39.0" customHeight="1">
      <c r="A186" s="32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</row>
    <row r="187" ht="39.0" customHeight="1">
      <c r="A187" s="32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</row>
    <row r="188" ht="39.0" customHeight="1">
      <c r="A188" s="32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</row>
    <row r="189" ht="39.0" customHeight="1">
      <c r="A189" s="32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</row>
    <row r="190" ht="39.0" customHeight="1">
      <c r="A190" s="32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</row>
    <row r="191" ht="39.0" customHeight="1">
      <c r="A191" s="32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</row>
    <row r="192" ht="39.0" customHeight="1">
      <c r="A192" s="32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</row>
    <row r="193" ht="39.0" customHeight="1">
      <c r="A193" s="32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</row>
    <row r="194" ht="39.0" customHeight="1">
      <c r="A194" s="32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</row>
    <row r="195" ht="39.0" customHeight="1">
      <c r="A195" s="32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</row>
    <row r="196" ht="39.0" customHeight="1">
      <c r="A196" s="32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</row>
    <row r="197" ht="39.0" customHeight="1">
      <c r="A197" s="32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</row>
    <row r="198" ht="39.0" customHeight="1">
      <c r="A198" s="32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</row>
    <row r="199" ht="39.0" customHeight="1">
      <c r="A199" s="32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</row>
    <row r="200" ht="39.0" customHeight="1">
      <c r="A200" s="32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</row>
    <row r="201" ht="39.0" customHeight="1">
      <c r="A201" s="32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</row>
    <row r="202" ht="39.0" customHeight="1">
      <c r="A202" s="32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</row>
    <row r="203" ht="39.0" customHeight="1">
      <c r="A203" s="32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</row>
    <row r="204" ht="39.0" customHeight="1">
      <c r="A204" s="32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</row>
    <row r="205" ht="39.0" customHeight="1">
      <c r="A205" s="32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</row>
    <row r="206" ht="39.0" customHeight="1">
      <c r="A206" s="32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</row>
    <row r="207" ht="39.0" customHeight="1">
      <c r="A207" s="32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</row>
    <row r="208" ht="39.0" customHeight="1">
      <c r="A208" s="32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</row>
    <row r="209" ht="39.0" customHeight="1">
      <c r="A209" s="32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</row>
    <row r="210" ht="39.0" customHeight="1">
      <c r="A210" s="32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</row>
    <row r="211" ht="39.0" customHeight="1">
      <c r="A211" s="32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</row>
    <row r="212" ht="39.0" customHeight="1">
      <c r="A212" s="32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</row>
    <row r="213" ht="39.0" customHeight="1">
      <c r="A213" s="32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</row>
    <row r="214" ht="39.0" customHeight="1">
      <c r="A214" s="32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</row>
    <row r="215" ht="39.0" customHeight="1">
      <c r="A215" s="32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</row>
    <row r="216" ht="39.0" customHeight="1">
      <c r="A216" s="32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</row>
    <row r="217" ht="39.0" customHeight="1">
      <c r="A217" s="32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</row>
    <row r="218" ht="39.0" customHeight="1">
      <c r="A218" s="32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</row>
    <row r="219" ht="39.0" customHeight="1">
      <c r="A219" s="32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</row>
    <row r="220" ht="39.0" customHeight="1">
      <c r="A220" s="32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</row>
    <row r="221" ht="39.0" customHeight="1">
      <c r="A221" s="32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</row>
    <row r="222" ht="39.0" customHeight="1">
      <c r="A222" s="32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</row>
    <row r="223" ht="39.0" customHeight="1">
      <c r="A223" s="32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</row>
    <row r="224" ht="39.0" customHeight="1">
      <c r="A224" s="32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</row>
    <row r="225" ht="39.0" customHeight="1">
      <c r="A225" s="32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</row>
    <row r="226" ht="39.0" customHeight="1">
      <c r="A226" s="32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</row>
    <row r="227" ht="39.0" customHeight="1">
      <c r="A227" s="32"/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</row>
    <row r="228" ht="39.0" customHeight="1">
      <c r="A228" s="32"/>
      <c r="B228" s="32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</row>
    <row r="229" ht="39.0" customHeight="1">
      <c r="A229" s="32"/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</row>
    <row r="230" ht="39.0" customHeight="1">
      <c r="A230" s="32"/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</row>
    <row r="231" ht="39.0" customHeight="1">
      <c r="A231" s="32"/>
      <c r="B231" s="32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</row>
    <row r="232" ht="39.0" customHeight="1">
      <c r="A232" s="32"/>
      <c r="B232" s="32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</row>
    <row r="233" ht="39.0" customHeight="1">
      <c r="A233" s="32"/>
      <c r="B233" s="32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</row>
    <row r="234" ht="39.0" customHeight="1">
      <c r="A234" s="32"/>
      <c r="B234" s="32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</row>
    <row r="235" ht="39.0" customHeight="1">
      <c r="A235" s="32"/>
      <c r="B235" s="32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</row>
    <row r="236" ht="39.0" customHeight="1">
      <c r="A236" s="32"/>
      <c r="B236" s="32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</row>
    <row r="237" ht="39.0" customHeight="1">
      <c r="A237" s="32"/>
      <c r="B237" s="32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</row>
    <row r="238" ht="39.0" customHeight="1">
      <c r="A238" s="32"/>
      <c r="B238" s="32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</row>
    <row r="239" ht="39.0" customHeight="1">
      <c r="A239" s="32"/>
      <c r="B239" s="32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</row>
    <row r="240" ht="39.0" customHeight="1">
      <c r="A240" s="32"/>
      <c r="B240" s="32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</row>
    <row r="241" ht="39.0" customHeight="1">
      <c r="A241" s="32"/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</row>
    <row r="242" ht="39.0" customHeight="1">
      <c r="A242" s="32"/>
      <c r="B242" s="32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</row>
    <row r="243" ht="39.0" customHeight="1">
      <c r="A243" s="32"/>
      <c r="B243" s="32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</row>
    <row r="244" ht="39.0" customHeight="1">
      <c r="A244" s="32"/>
      <c r="B244" s="32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</row>
    <row r="245" ht="39.0" customHeight="1">
      <c r="A245" s="32"/>
      <c r="B245" s="32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</row>
    <row r="246" ht="39.0" customHeight="1">
      <c r="A246" s="32"/>
      <c r="B246" s="32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</row>
    <row r="247" ht="39.0" customHeight="1">
      <c r="A247" s="32"/>
      <c r="B247" s="32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</row>
    <row r="248" ht="39.0" customHeight="1">
      <c r="A248" s="32"/>
      <c r="B248" s="32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</row>
    <row r="249" ht="39.0" customHeight="1">
      <c r="A249" s="32"/>
      <c r="B249" s="32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</row>
    <row r="250" ht="39.0" customHeight="1">
      <c r="A250" s="32"/>
      <c r="B250" s="32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</row>
    <row r="251" ht="39.0" customHeight="1">
      <c r="A251" s="32"/>
      <c r="B251" s="32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</row>
    <row r="252" ht="39.0" customHeight="1">
      <c r="A252" s="32"/>
      <c r="B252" s="32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</row>
    <row r="253" ht="39.0" customHeight="1">
      <c r="A253" s="32"/>
      <c r="B253" s="32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</row>
    <row r="254" ht="39.0" customHeight="1">
      <c r="A254" s="32"/>
      <c r="B254" s="32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</row>
    <row r="255" ht="39.0" customHeight="1">
      <c r="A255" s="32"/>
      <c r="B255" s="32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</row>
    <row r="256" ht="39.0" customHeight="1">
      <c r="A256" s="32"/>
      <c r="B256" s="32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</row>
    <row r="257" ht="39.0" customHeight="1">
      <c r="A257" s="32"/>
      <c r="B257" s="32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</row>
    <row r="258" ht="39.0" customHeight="1">
      <c r="A258" s="32"/>
      <c r="B258" s="32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</row>
    <row r="259" ht="39.0" customHeight="1">
      <c r="A259" s="32"/>
      <c r="B259" s="32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</row>
    <row r="260" ht="39.0" customHeight="1">
      <c r="A260" s="32"/>
      <c r="B260" s="32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</row>
    <row r="261" ht="39.0" customHeight="1">
      <c r="A261" s="32"/>
      <c r="B261" s="32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</row>
    <row r="262" ht="39.0" customHeight="1">
      <c r="A262" s="32"/>
      <c r="B262" s="32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</row>
    <row r="263" ht="39.0" customHeight="1">
      <c r="A263" s="32"/>
      <c r="B263" s="32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</row>
    <row r="264" ht="39.0" customHeight="1">
      <c r="A264" s="32"/>
      <c r="B264" s="32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</row>
    <row r="265" ht="39.0" customHeight="1">
      <c r="A265" s="32"/>
      <c r="B265" s="32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</row>
    <row r="266" ht="39.0" customHeight="1">
      <c r="A266" s="32"/>
      <c r="B266" s="32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</row>
    <row r="267" ht="39.0" customHeight="1">
      <c r="A267" s="32"/>
      <c r="B267" s="32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</row>
    <row r="268" ht="39.0" customHeight="1">
      <c r="A268" s="32"/>
      <c r="B268" s="32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</row>
    <row r="269" ht="39.0" customHeight="1">
      <c r="A269" s="32"/>
      <c r="B269" s="32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</row>
    <row r="270" ht="39.0" customHeight="1">
      <c r="A270" s="32"/>
      <c r="B270" s="32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</row>
    <row r="271" ht="39.0" customHeight="1">
      <c r="A271" s="32"/>
      <c r="B271" s="32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</row>
    <row r="272" ht="39.0" customHeight="1">
      <c r="A272" s="32"/>
      <c r="B272" s="32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</row>
    <row r="273" ht="39.0" customHeight="1">
      <c r="A273" s="32"/>
      <c r="B273" s="32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</row>
    <row r="274" ht="39.0" customHeight="1">
      <c r="A274" s="32"/>
      <c r="B274" s="32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</row>
    <row r="275" ht="39.0" customHeight="1">
      <c r="A275" s="32"/>
      <c r="B275" s="32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</row>
    <row r="276" ht="39.0" customHeight="1">
      <c r="A276" s="32"/>
      <c r="B276" s="32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</row>
    <row r="277" ht="39.0" customHeight="1">
      <c r="A277" s="32"/>
      <c r="B277" s="32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</row>
    <row r="278" ht="39.0" customHeight="1">
      <c r="A278" s="32"/>
      <c r="B278" s="32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</row>
    <row r="279" ht="39.0" customHeight="1">
      <c r="A279" s="32"/>
      <c r="B279" s="32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</row>
    <row r="280" ht="39.0" customHeight="1">
      <c r="A280" s="32"/>
      <c r="B280" s="32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</row>
    <row r="281" ht="39.0" customHeight="1">
      <c r="A281" s="32"/>
      <c r="B281" s="32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</row>
    <row r="282" ht="39.0" customHeight="1">
      <c r="A282" s="32"/>
      <c r="B282" s="32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</row>
    <row r="283" ht="39.0" customHeight="1">
      <c r="A283" s="32"/>
      <c r="B283" s="32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</row>
    <row r="284" ht="39.0" customHeight="1">
      <c r="A284" s="32"/>
      <c r="B284" s="32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</row>
    <row r="285" ht="39.0" customHeight="1">
      <c r="A285" s="32"/>
      <c r="B285" s="32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</row>
    <row r="286" ht="39.0" customHeight="1">
      <c r="A286" s="32"/>
      <c r="B286" s="32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</row>
    <row r="287" ht="39.0" customHeight="1">
      <c r="A287" s="32"/>
      <c r="B287" s="32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</row>
    <row r="288" ht="39.0" customHeight="1">
      <c r="A288" s="32"/>
      <c r="B288" s="32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</row>
    <row r="289" ht="39.0" customHeight="1">
      <c r="A289" s="32"/>
      <c r="B289" s="32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</row>
    <row r="290" ht="39.0" customHeight="1">
      <c r="A290" s="32"/>
      <c r="B290" s="32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</row>
    <row r="291" ht="39.0" customHeight="1">
      <c r="A291" s="32"/>
      <c r="B291" s="32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</row>
    <row r="292" ht="39.0" customHeight="1">
      <c r="A292" s="32"/>
      <c r="B292" s="32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</row>
    <row r="293" ht="39.0" customHeight="1">
      <c r="A293" s="32"/>
      <c r="B293" s="32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</row>
    <row r="294" ht="39.0" customHeight="1">
      <c r="A294" s="32"/>
      <c r="B294" s="32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</row>
    <row r="295" ht="39.0" customHeight="1">
      <c r="A295" s="32"/>
      <c r="B295" s="32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</row>
    <row r="296" ht="39.0" customHeight="1">
      <c r="A296" s="32"/>
      <c r="B296" s="32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</row>
    <row r="297" ht="39.0" customHeight="1">
      <c r="A297" s="32"/>
      <c r="B297" s="32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</row>
    <row r="298" ht="39.0" customHeight="1">
      <c r="A298" s="32"/>
      <c r="B298" s="32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</row>
    <row r="299" ht="39.0" customHeight="1">
      <c r="A299" s="32"/>
      <c r="B299" s="32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</row>
    <row r="300" ht="39.0" customHeight="1">
      <c r="A300" s="32"/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</row>
    <row r="301" ht="39.0" customHeight="1">
      <c r="A301" s="32"/>
      <c r="B301" s="32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</row>
    <row r="302" ht="39.0" customHeight="1">
      <c r="A302" s="32"/>
      <c r="B302" s="32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</row>
    <row r="303" ht="39.0" customHeight="1">
      <c r="A303" s="32"/>
      <c r="B303" s="32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</row>
    <row r="304" ht="39.0" customHeight="1">
      <c r="A304" s="32"/>
      <c r="B304" s="32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</row>
    <row r="305" ht="39.0" customHeight="1">
      <c r="A305" s="32"/>
      <c r="B305" s="32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</row>
    <row r="306" ht="39.0" customHeight="1">
      <c r="A306" s="32"/>
      <c r="B306" s="32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</row>
    <row r="307" ht="39.0" customHeight="1">
      <c r="A307" s="32"/>
      <c r="B307" s="32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</row>
    <row r="308" ht="39.0" customHeight="1">
      <c r="A308" s="32"/>
      <c r="B308" s="32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</row>
    <row r="309" ht="39.0" customHeight="1">
      <c r="A309" s="32"/>
      <c r="B309" s="32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</row>
    <row r="310" ht="39.0" customHeight="1">
      <c r="A310" s="32"/>
      <c r="B310" s="32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</row>
    <row r="311" ht="39.0" customHeight="1">
      <c r="A311" s="32"/>
      <c r="B311" s="32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</row>
    <row r="312" ht="39.0" customHeight="1">
      <c r="A312" s="32"/>
      <c r="B312" s="32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</row>
    <row r="313" ht="39.0" customHeight="1">
      <c r="A313" s="32"/>
      <c r="B313" s="32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</row>
    <row r="314" ht="39.0" customHeight="1">
      <c r="A314" s="32"/>
      <c r="B314" s="32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</row>
    <row r="315" ht="39.0" customHeight="1">
      <c r="A315" s="32"/>
      <c r="B315" s="32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</row>
    <row r="316" ht="39.0" customHeight="1">
      <c r="A316" s="32"/>
      <c r="B316" s="32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</row>
    <row r="317" ht="39.0" customHeight="1">
      <c r="A317" s="32"/>
      <c r="B317" s="32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</row>
    <row r="318" ht="39.0" customHeight="1">
      <c r="A318" s="32"/>
      <c r="B318" s="32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</row>
    <row r="319" ht="39.0" customHeight="1">
      <c r="A319" s="32"/>
      <c r="B319" s="32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</row>
    <row r="320" ht="39.0" customHeight="1">
      <c r="A320" s="32"/>
      <c r="B320" s="32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</row>
    <row r="321" ht="39.0" customHeight="1">
      <c r="A321" s="32"/>
      <c r="B321" s="32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</row>
    <row r="322" ht="39.0" customHeight="1">
      <c r="A322" s="32"/>
      <c r="B322" s="32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</row>
    <row r="323" ht="39.0" customHeight="1">
      <c r="A323" s="32"/>
      <c r="B323" s="32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</row>
    <row r="324" ht="39.0" customHeight="1">
      <c r="A324" s="32"/>
      <c r="B324" s="32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</row>
    <row r="325" ht="39.0" customHeight="1">
      <c r="A325" s="32"/>
      <c r="B325" s="32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</row>
    <row r="326" ht="39.0" customHeight="1">
      <c r="A326" s="32"/>
      <c r="B326" s="32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</row>
    <row r="327" ht="39.0" customHeight="1">
      <c r="A327" s="32"/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</row>
    <row r="328" ht="39.0" customHeight="1">
      <c r="A328" s="32"/>
      <c r="B328" s="32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</row>
    <row r="329" ht="39.0" customHeight="1">
      <c r="A329" s="32"/>
      <c r="B329" s="32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</row>
    <row r="330" ht="39.0" customHeight="1">
      <c r="A330" s="32"/>
      <c r="B330" s="32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</row>
    <row r="331" ht="39.0" customHeight="1">
      <c r="A331" s="32"/>
      <c r="B331" s="32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</row>
    <row r="332" ht="39.0" customHeight="1">
      <c r="A332" s="32"/>
      <c r="B332" s="32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</row>
    <row r="333" ht="39.0" customHeight="1">
      <c r="A333" s="32"/>
      <c r="B333" s="32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</row>
    <row r="334" ht="39.0" customHeight="1">
      <c r="A334" s="32"/>
      <c r="B334" s="32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</row>
    <row r="335" ht="39.0" customHeight="1">
      <c r="A335" s="32"/>
      <c r="B335" s="32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</row>
    <row r="336" ht="39.0" customHeight="1">
      <c r="A336" s="32"/>
      <c r="B336" s="32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</row>
    <row r="337" ht="39.0" customHeight="1">
      <c r="A337" s="32"/>
      <c r="B337" s="32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</row>
    <row r="338" ht="39.0" customHeight="1">
      <c r="A338" s="32"/>
      <c r="B338" s="32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</row>
    <row r="339" ht="39.0" customHeight="1">
      <c r="A339" s="32"/>
      <c r="B339" s="32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</row>
    <row r="340" ht="39.0" customHeight="1">
      <c r="A340" s="32"/>
      <c r="B340" s="32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</row>
    <row r="341" ht="39.0" customHeight="1">
      <c r="A341" s="32"/>
      <c r="B341" s="32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</row>
    <row r="342" ht="39.0" customHeight="1">
      <c r="A342" s="32"/>
      <c r="B342" s="32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</row>
    <row r="343" ht="39.0" customHeight="1">
      <c r="A343" s="32"/>
      <c r="B343" s="32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</row>
    <row r="344" ht="39.0" customHeight="1">
      <c r="A344" s="32"/>
      <c r="B344" s="32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</row>
    <row r="345" ht="39.0" customHeight="1">
      <c r="A345" s="32"/>
      <c r="B345" s="32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</row>
    <row r="346" ht="39.0" customHeight="1">
      <c r="A346" s="32"/>
      <c r="B346" s="32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</row>
    <row r="347" ht="39.0" customHeight="1">
      <c r="A347" s="32"/>
      <c r="B347" s="32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</row>
    <row r="348" ht="39.0" customHeight="1">
      <c r="A348" s="32"/>
      <c r="B348" s="32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</row>
    <row r="349" ht="39.0" customHeight="1">
      <c r="A349" s="32"/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</row>
    <row r="350" ht="39.0" customHeight="1">
      <c r="A350" s="32"/>
      <c r="B350" s="32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</row>
    <row r="351" ht="39.0" customHeight="1">
      <c r="A351" s="32"/>
      <c r="B351" s="32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</row>
    <row r="352" ht="39.0" customHeight="1">
      <c r="A352" s="32"/>
      <c r="B352" s="32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</row>
    <row r="353" ht="39.0" customHeight="1">
      <c r="A353" s="32"/>
      <c r="B353" s="32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</row>
    <row r="354" ht="39.0" customHeight="1">
      <c r="A354" s="32"/>
      <c r="B354" s="32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</row>
    <row r="355" ht="39.0" customHeight="1">
      <c r="A355" s="32"/>
      <c r="B355" s="32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</row>
    <row r="356" ht="39.0" customHeight="1">
      <c r="A356" s="32"/>
      <c r="B356" s="32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</row>
    <row r="357" ht="39.0" customHeight="1">
      <c r="A357" s="32"/>
      <c r="B357" s="32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</row>
    <row r="358" ht="39.0" customHeight="1">
      <c r="A358" s="32"/>
      <c r="B358" s="32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</row>
    <row r="359" ht="39.0" customHeight="1">
      <c r="A359" s="32"/>
      <c r="B359" s="32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</row>
    <row r="360" ht="39.0" customHeight="1">
      <c r="A360" s="32"/>
      <c r="B360" s="32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</row>
    <row r="361" ht="39.0" customHeight="1">
      <c r="A361" s="32"/>
      <c r="B361" s="32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</row>
    <row r="362" ht="39.0" customHeight="1">
      <c r="A362" s="32"/>
      <c r="B362" s="32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</row>
    <row r="363" ht="39.0" customHeight="1">
      <c r="A363" s="32"/>
      <c r="B363" s="32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</row>
    <row r="364" ht="39.0" customHeight="1">
      <c r="A364" s="32"/>
      <c r="B364" s="32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</row>
    <row r="365" ht="39.0" customHeight="1">
      <c r="A365" s="32"/>
      <c r="B365" s="32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</row>
    <row r="366" ht="39.0" customHeight="1">
      <c r="A366" s="32"/>
      <c r="B366" s="32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</row>
    <row r="367" ht="39.0" customHeight="1">
      <c r="A367" s="32"/>
      <c r="B367" s="32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</row>
    <row r="368" ht="39.0" customHeight="1">
      <c r="A368" s="32"/>
      <c r="B368" s="32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</row>
    <row r="369" ht="39.0" customHeight="1">
      <c r="A369" s="32"/>
      <c r="B369" s="32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</row>
    <row r="370" ht="39.0" customHeight="1">
      <c r="A370" s="32"/>
      <c r="B370" s="32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</row>
    <row r="371" ht="39.0" customHeight="1">
      <c r="A371" s="32"/>
      <c r="B371" s="32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</row>
    <row r="372" ht="39.0" customHeight="1">
      <c r="A372" s="32"/>
      <c r="B372" s="32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</row>
    <row r="373" ht="39.0" customHeight="1">
      <c r="A373" s="32"/>
      <c r="B373" s="32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</row>
    <row r="374" ht="39.0" customHeight="1">
      <c r="A374" s="32"/>
      <c r="B374" s="32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</row>
    <row r="375" ht="39.0" customHeight="1">
      <c r="A375" s="32"/>
      <c r="B375" s="32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</row>
    <row r="376" ht="39.0" customHeight="1">
      <c r="A376" s="32"/>
      <c r="B376" s="32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</row>
    <row r="377" ht="39.0" customHeight="1">
      <c r="A377" s="32"/>
      <c r="B377" s="32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</row>
    <row r="378" ht="39.0" customHeight="1">
      <c r="A378" s="32"/>
      <c r="B378" s="32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</row>
    <row r="379" ht="39.0" customHeight="1">
      <c r="A379" s="32"/>
      <c r="B379" s="32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</row>
    <row r="380" ht="39.0" customHeight="1">
      <c r="A380" s="32"/>
      <c r="B380" s="32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</row>
    <row r="381" ht="39.0" customHeight="1">
      <c r="A381" s="32"/>
      <c r="B381" s="32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</row>
    <row r="382" ht="39.0" customHeight="1">
      <c r="A382" s="32"/>
      <c r="B382" s="32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</row>
    <row r="383" ht="39.0" customHeight="1">
      <c r="A383" s="32"/>
      <c r="B383" s="32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</row>
    <row r="384" ht="39.0" customHeight="1">
      <c r="A384" s="32"/>
      <c r="B384" s="32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</row>
    <row r="385" ht="39.0" customHeight="1">
      <c r="A385" s="32"/>
      <c r="B385" s="32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</row>
    <row r="386" ht="39.0" customHeight="1">
      <c r="A386" s="32"/>
      <c r="B386" s="32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</row>
    <row r="387" ht="39.0" customHeight="1">
      <c r="A387" s="32"/>
      <c r="B387" s="32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</row>
    <row r="388" ht="39.0" customHeight="1">
      <c r="A388" s="32"/>
      <c r="B388" s="32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</row>
    <row r="389" ht="39.0" customHeight="1">
      <c r="A389" s="32"/>
      <c r="B389" s="32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</row>
    <row r="390" ht="39.0" customHeight="1">
      <c r="A390" s="32"/>
      <c r="B390" s="32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</row>
    <row r="391" ht="39.0" customHeight="1">
      <c r="A391" s="32"/>
      <c r="B391" s="32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</row>
    <row r="392" ht="39.0" customHeight="1">
      <c r="A392" s="32"/>
      <c r="B392" s="32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</row>
    <row r="393" ht="39.0" customHeight="1">
      <c r="A393" s="32"/>
      <c r="B393" s="32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</row>
    <row r="394" ht="39.0" customHeight="1">
      <c r="A394" s="32"/>
      <c r="B394" s="32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</row>
    <row r="395" ht="39.0" customHeight="1">
      <c r="A395" s="32"/>
      <c r="B395" s="32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</row>
    <row r="396" ht="39.0" customHeight="1">
      <c r="A396" s="32"/>
      <c r="B396" s="32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</row>
    <row r="397" ht="39.0" customHeight="1">
      <c r="A397" s="32"/>
      <c r="B397" s="32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</row>
    <row r="398" ht="39.0" customHeight="1">
      <c r="A398" s="32"/>
      <c r="B398" s="32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</row>
    <row r="399" ht="39.0" customHeight="1">
      <c r="A399" s="32"/>
      <c r="B399" s="32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</row>
    <row r="400" ht="39.0" customHeight="1">
      <c r="A400" s="32"/>
      <c r="B400" s="32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</row>
    <row r="401" ht="39.0" customHeight="1">
      <c r="A401" s="32"/>
      <c r="B401" s="32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</row>
    <row r="402" ht="39.0" customHeight="1">
      <c r="A402" s="32"/>
      <c r="B402" s="32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</row>
    <row r="403" ht="39.0" customHeight="1">
      <c r="A403" s="32"/>
      <c r="B403" s="32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</row>
    <row r="404" ht="39.0" customHeight="1">
      <c r="A404" s="32"/>
      <c r="B404" s="32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</row>
    <row r="405" ht="39.0" customHeight="1">
      <c r="A405" s="32"/>
      <c r="B405" s="32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</row>
    <row r="406" ht="39.0" customHeight="1">
      <c r="A406" s="32"/>
      <c r="B406" s="32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</row>
    <row r="407" ht="39.0" customHeight="1">
      <c r="A407" s="32"/>
      <c r="B407" s="32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</row>
    <row r="408" ht="39.0" customHeight="1">
      <c r="A408" s="32"/>
      <c r="B408" s="32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</row>
    <row r="409" ht="39.0" customHeight="1">
      <c r="A409" s="32"/>
      <c r="B409" s="32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</row>
    <row r="410" ht="39.0" customHeight="1">
      <c r="A410" s="32"/>
      <c r="B410" s="32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</row>
    <row r="411" ht="39.0" customHeight="1">
      <c r="A411" s="32"/>
      <c r="B411" s="32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</row>
    <row r="412" ht="39.0" customHeight="1">
      <c r="A412" s="32"/>
      <c r="B412" s="32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</row>
    <row r="413" ht="39.0" customHeight="1">
      <c r="A413" s="32"/>
      <c r="B413" s="32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</row>
    <row r="414" ht="39.0" customHeight="1">
      <c r="A414" s="32"/>
      <c r="B414" s="32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</row>
    <row r="415" ht="39.0" customHeight="1">
      <c r="A415" s="32"/>
      <c r="B415" s="32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</row>
    <row r="416" ht="39.0" customHeight="1">
      <c r="A416" s="32"/>
      <c r="B416" s="32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</row>
    <row r="417" ht="39.0" customHeight="1">
      <c r="A417" s="32"/>
      <c r="B417" s="32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</row>
    <row r="418" ht="39.0" customHeight="1">
      <c r="A418" s="32"/>
      <c r="B418" s="32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</row>
    <row r="419" ht="39.0" customHeight="1">
      <c r="A419" s="32"/>
      <c r="B419" s="32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</row>
    <row r="420" ht="39.0" customHeight="1">
      <c r="A420" s="32"/>
      <c r="B420" s="32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</row>
    <row r="421" ht="39.0" customHeight="1">
      <c r="A421" s="32"/>
      <c r="B421" s="32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</row>
    <row r="422" ht="39.0" customHeight="1">
      <c r="A422" s="32"/>
      <c r="B422" s="32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</row>
    <row r="423" ht="39.0" customHeight="1">
      <c r="A423" s="32"/>
      <c r="B423" s="32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</row>
    <row r="424" ht="39.0" customHeight="1">
      <c r="A424" s="32"/>
      <c r="B424" s="32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</row>
    <row r="425" ht="39.0" customHeight="1">
      <c r="A425" s="32"/>
      <c r="B425" s="32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</row>
    <row r="426" ht="39.0" customHeight="1">
      <c r="A426" s="32"/>
      <c r="B426" s="32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</row>
    <row r="427" ht="39.0" customHeight="1">
      <c r="A427" s="32"/>
      <c r="B427" s="32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</row>
    <row r="428" ht="39.0" customHeight="1">
      <c r="A428" s="32"/>
      <c r="B428" s="32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</row>
    <row r="429" ht="39.0" customHeight="1">
      <c r="A429" s="32"/>
      <c r="B429" s="32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</row>
    <row r="430" ht="39.0" customHeight="1">
      <c r="A430" s="32"/>
      <c r="B430" s="32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</row>
    <row r="431" ht="39.0" customHeight="1">
      <c r="A431" s="32"/>
      <c r="B431" s="32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</row>
    <row r="432" ht="39.0" customHeight="1">
      <c r="A432" s="32"/>
      <c r="B432" s="32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</row>
    <row r="433" ht="39.0" customHeight="1">
      <c r="A433" s="32"/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</row>
    <row r="434" ht="39.0" customHeight="1">
      <c r="A434" s="32"/>
      <c r="B434" s="32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</row>
    <row r="435" ht="39.0" customHeight="1">
      <c r="A435" s="32"/>
      <c r="B435" s="32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</row>
    <row r="436" ht="39.0" customHeight="1">
      <c r="A436" s="32"/>
      <c r="B436" s="32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</row>
    <row r="437" ht="39.0" customHeight="1">
      <c r="A437" s="32"/>
      <c r="B437" s="32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</row>
    <row r="438" ht="39.0" customHeight="1">
      <c r="A438" s="32"/>
      <c r="B438" s="32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</row>
    <row r="439" ht="39.0" customHeight="1">
      <c r="A439" s="32"/>
      <c r="B439" s="32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</row>
    <row r="440" ht="39.0" customHeight="1">
      <c r="A440" s="32"/>
      <c r="B440" s="32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</row>
    <row r="441" ht="39.0" customHeight="1">
      <c r="A441" s="32"/>
      <c r="B441" s="32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</row>
    <row r="442" ht="39.0" customHeight="1">
      <c r="A442" s="32"/>
      <c r="B442" s="32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</row>
    <row r="443" ht="39.0" customHeight="1">
      <c r="A443" s="32"/>
      <c r="B443" s="32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</row>
    <row r="444" ht="39.0" customHeight="1">
      <c r="A444" s="32"/>
      <c r="B444" s="32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</row>
    <row r="445" ht="39.0" customHeight="1">
      <c r="A445" s="32"/>
      <c r="B445" s="32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</row>
    <row r="446" ht="39.0" customHeight="1">
      <c r="A446" s="32"/>
      <c r="B446" s="32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</row>
    <row r="447" ht="39.0" customHeight="1">
      <c r="A447" s="32"/>
      <c r="B447" s="32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</row>
    <row r="448" ht="39.0" customHeight="1">
      <c r="A448" s="32"/>
      <c r="B448" s="32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</row>
    <row r="449" ht="39.0" customHeight="1">
      <c r="A449" s="32"/>
      <c r="B449" s="32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</row>
    <row r="450" ht="39.0" customHeight="1">
      <c r="A450" s="32"/>
      <c r="B450" s="32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</row>
    <row r="451" ht="39.0" customHeight="1">
      <c r="A451" s="32"/>
      <c r="B451" s="32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</row>
    <row r="452" ht="39.0" customHeight="1">
      <c r="A452" s="32"/>
      <c r="B452" s="32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</row>
    <row r="453" ht="39.0" customHeight="1">
      <c r="A453" s="32"/>
      <c r="B453" s="32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</row>
    <row r="454" ht="39.0" customHeight="1">
      <c r="A454" s="32"/>
      <c r="B454" s="32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</row>
    <row r="455" ht="39.0" customHeight="1">
      <c r="A455" s="32"/>
      <c r="B455" s="32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</row>
    <row r="456" ht="39.0" customHeight="1">
      <c r="A456" s="32"/>
      <c r="B456" s="32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</row>
    <row r="457" ht="39.0" customHeight="1">
      <c r="A457" s="32"/>
      <c r="B457" s="32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</row>
    <row r="458" ht="39.0" customHeight="1">
      <c r="A458" s="32"/>
      <c r="B458" s="32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</row>
    <row r="459" ht="39.0" customHeight="1">
      <c r="A459" s="32"/>
      <c r="B459" s="32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</row>
    <row r="460" ht="39.0" customHeight="1">
      <c r="A460" s="32"/>
      <c r="B460" s="32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</row>
    <row r="461" ht="39.0" customHeight="1">
      <c r="A461" s="32"/>
      <c r="B461" s="32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</row>
    <row r="462" ht="39.0" customHeight="1">
      <c r="A462" s="32"/>
      <c r="B462" s="32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</row>
    <row r="463" ht="39.0" customHeight="1">
      <c r="A463" s="32"/>
      <c r="B463" s="32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</row>
    <row r="464" ht="39.0" customHeight="1">
      <c r="A464" s="32"/>
      <c r="B464" s="32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</row>
    <row r="465" ht="39.0" customHeight="1">
      <c r="A465" s="32"/>
      <c r="B465" s="32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</row>
    <row r="466" ht="39.0" customHeight="1">
      <c r="A466" s="32"/>
      <c r="B466" s="32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</row>
    <row r="467" ht="39.0" customHeight="1">
      <c r="A467" s="32"/>
      <c r="B467" s="32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</row>
    <row r="468" ht="39.0" customHeight="1">
      <c r="A468" s="32"/>
      <c r="B468" s="32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</row>
    <row r="469" ht="39.0" customHeight="1">
      <c r="A469" s="32"/>
      <c r="B469" s="32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</row>
    <row r="470" ht="39.0" customHeight="1">
      <c r="A470" s="32"/>
      <c r="B470" s="32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</row>
    <row r="471" ht="39.0" customHeight="1">
      <c r="A471" s="32"/>
      <c r="B471" s="32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</row>
    <row r="472" ht="39.0" customHeight="1">
      <c r="A472" s="32"/>
      <c r="B472" s="32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</row>
    <row r="473" ht="39.0" customHeight="1">
      <c r="A473" s="32"/>
      <c r="B473" s="32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</row>
    <row r="474" ht="39.0" customHeight="1">
      <c r="A474" s="32"/>
      <c r="B474" s="32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</row>
    <row r="475" ht="39.0" customHeight="1">
      <c r="A475" s="32"/>
      <c r="B475" s="32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</row>
    <row r="476" ht="39.0" customHeight="1">
      <c r="A476" s="32"/>
      <c r="B476" s="32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</row>
    <row r="477" ht="39.0" customHeight="1">
      <c r="A477" s="32"/>
      <c r="B477" s="32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</row>
    <row r="478" ht="39.0" customHeight="1">
      <c r="A478" s="32"/>
      <c r="B478" s="32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</row>
    <row r="479" ht="39.0" customHeight="1">
      <c r="A479" s="32"/>
      <c r="B479" s="32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</row>
    <row r="480" ht="39.0" customHeight="1">
      <c r="A480" s="32"/>
      <c r="B480" s="32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</row>
    <row r="481" ht="39.0" customHeight="1">
      <c r="A481" s="32"/>
      <c r="B481" s="32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</row>
    <row r="482" ht="39.0" customHeight="1">
      <c r="A482" s="32"/>
      <c r="B482" s="32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</row>
    <row r="483" ht="39.0" customHeight="1">
      <c r="A483" s="32"/>
      <c r="B483" s="32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</row>
    <row r="484" ht="39.0" customHeight="1">
      <c r="A484" s="32"/>
      <c r="B484" s="32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</row>
    <row r="485" ht="39.0" customHeight="1">
      <c r="A485" s="32"/>
      <c r="B485" s="32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</row>
    <row r="486" ht="39.0" customHeight="1">
      <c r="A486" s="32"/>
      <c r="B486" s="32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</row>
    <row r="487" ht="39.0" customHeight="1">
      <c r="A487" s="32"/>
      <c r="B487" s="32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</row>
    <row r="488" ht="39.0" customHeight="1">
      <c r="A488" s="32"/>
      <c r="B488" s="32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</row>
    <row r="489" ht="39.0" customHeight="1">
      <c r="A489" s="32"/>
      <c r="B489" s="32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</row>
    <row r="490" ht="39.0" customHeight="1">
      <c r="A490" s="32"/>
      <c r="B490" s="32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</row>
    <row r="491" ht="39.0" customHeight="1">
      <c r="A491" s="32"/>
      <c r="B491" s="32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</row>
    <row r="492" ht="39.0" customHeight="1">
      <c r="A492" s="32"/>
      <c r="B492" s="32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</row>
    <row r="493" ht="39.0" customHeight="1">
      <c r="A493" s="32"/>
      <c r="B493" s="32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</row>
    <row r="494" ht="39.0" customHeight="1">
      <c r="A494" s="32"/>
      <c r="B494" s="32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</row>
    <row r="495" ht="39.0" customHeight="1">
      <c r="A495" s="32"/>
      <c r="B495" s="32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</row>
    <row r="496" ht="39.0" customHeight="1">
      <c r="A496" s="32"/>
      <c r="B496" s="32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</row>
    <row r="497" ht="39.0" customHeight="1">
      <c r="A497" s="32"/>
      <c r="B497" s="32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</row>
    <row r="498" ht="39.0" customHeight="1">
      <c r="A498" s="32"/>
      <c r="B498" s="32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</row>
    <row r="499" ht="39.0" customHeight="1">
      <c r="A499" s="32"/>
      <c r="B499" s="32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</row>
    <row r="500" ht="39.0" customHeight="1">
      <c r="A500" s="32"/>
      <c r="B500" s="32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</row>
    <row r="501" ht="39.0" customHeight="1">
      <c r="A501" s="32"/>
      <c r="B501" s="32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</row>
    <row r="502" ht="39.0" customHeight="1">
      <c r="A502" s="32"/>
      <c r="B502" s="32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</row>
    <row r="503" ht="39.0" customHeight="1">
      <c r="A503" s="32"/>
      <c r="B503" s="32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</row>
    <row r="504" ht="39.0" customHeight="1">
      <c r="A504" s="32"/>
      <c r="B504" s="32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</row>
    <row r="505" ht="39.0" customHeight="1">
      <c r="A505" s="32"/>
      <c r="B505" s="32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</row>
    <row r="506" ht="39.0" customHeight="1">
      <c r="A506" s="32"/>
      <c r="B506" s="32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</row>
    <row r="507" ht="39.0" customHeight="1">
      <c r="A507" s="32"/>
      <c r="B507" s="32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</row>
    <row r="508" ht="39.0" customHeight="1">
      <c r="A508" s="32"/>
      <c r="B508" s="32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</row>
    <row r="509" ht="39.0" customHeight="1">
      <c r="A509" s="32"/>
      <c r="B509" s="32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</row>
    <row r="510" ht="39.0" customHeight="1">
      <c r="A510" s="32"/>
      <c r="B510" s="32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</row>
    <row r="511" ht="39.0" customHeight="1">
      <c r="A511" s="32"/>
      <c r="B511" s="32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</row>
    <row r="512" ht="39.0" customHeight="1">
      <c r="A512" s="32"/>
      <c r="B512" s="32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</row>
    <row r="513" ht="39.0" customHeight="1">
      <c r="A513" s="32"/>
      <c r="B513" s="32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</row>
    <row r="514" ht="39.0" customHeight="1">
      <c r="A514" s="32"/>
      <c r="B514" s="32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</row>
    <row r="515" ht="39.0" customHeight="1">
      <c r="A515" s="32"/>
      <c r="B515" s="32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</row>
    <row r="516" ht="39.0" customHeight="1">
      <c r="A516" s="32"/>
      <c r="B516" s="32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</row>
    <row r="517" ht="39.0" customHeight="1">
      <c r="A517" s="32"/>
      <c r="B517" s="32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</row>
    <row r="518" ht="39.0" customHeight="1">
      <c r="A518" s="32"/>
      <c r="B518" s="32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</row>
    <row r="519" ht="39.0" customHeight="1">
      <c r="A519" s="32"/>
      <c r="B519" s="32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</row>
    <row r="520" ht="39.0" customHeight="1">
      <c r="A520" s="32"/>
      <c r="B520" s="32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</row>
    <row r="521" ht="39.0" customHeight="1">
      <c r="A521" s="32"/>
      <c r="B521" s="32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</row>
    <row r="522" ht="39.0" customHeight="1">
      <c r="A522" s="32"/>
      <c r="B522" s="32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</row>
    <row r="523" ht="39.0" customHeight="1">
      <c r="A523" s="32"/>
      <c r="B523" s="32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</row>
    <row r="524" ht="39.0" customHeight="1">
      <c r="A524" s="32"/>
      <c r="B524" s="32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</row>
    <row r="525" ht="39.0" customHeight="1">
      <c r="A525" s="32"/>
      <c r="B525" s="32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</row>
    <row r="526" ht="39.0" customHeight="1">
      <c r="A526" s="32"/>
      <c r="B526" s="32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</row>
    <row r="527" ht="39.0" customHeight="1">
      <c r="A527" s="32"/>
      <c r="B527" s="32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</row>
    <row r="528" ht="39.0" customHeight="1">
      <c r="A528" s="32"/>
      <c r="B528" s="32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</row>
    <row r="529" ht="39.0" customHeight="1">
      <c r="A529" s="32"/>
      <c r="B529" s="32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</row>
    <row r="530" ht="39.0" customHeight="1">
      <c r="A530" s="32"/>
      <c r="B530" s="32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</row>
    <row r="531" ht="39.0" customHeight="1">
      <c r="A531" s="32"/>
      <c r="B531" s="32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</row>
    <row r="532" ht="39.0" customHeight="1">
      <c r="A532" s="32"/>
      <c r="B532" s="32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</row>
    <row r="533" ht="39.0" customHeight="1">
      <c r="A533" s="32"/>
      <c r="B533" s="32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</row>
    <row r="534" ht="39.0" customHeight="1">
      <c r="A534" s="32"/>
      <c r="B534" s="32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</row>
    <row r="535" ht="39.0" customHeight="1">
      <c r="A535" s="32"/>
      <c r="B535" s="32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</row>
    <row r="536" ht="39.0" customHeight="1">
      <c r="A536" s="32"/>
      <c r="B536" s="32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</row>
    <row r="537" ht="39.0" customHeight="1">
      <c r="A537" s="32"/>
      <c r="B537" s="32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</row>
    <row r="538" ht="39.0" customHeight="1">
      <c r="A538" s="32"/>
      <c r="B538" s="32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</row>
    <row r="539" ht="39.0" customHeight="1">
      <c r="A539" s="32"/>
      <c r="B539" s="32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</row>
    <row r="540" ht="39.0" customHeight="1">
      <c r="A540" s="32"/>
      <c r="B540" s="32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</row>
    <row r="541" ht="39.0" customHeight="1">
      <c r="A541" s="32"/>
      <c r="B541" s="32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</row>
    <row r="542" ht="39.0" customHeight="1">
      <c r="A542" s="32"/>
      <c r="B542" s="32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</row>
    <row r="543" ht="39.0" customHeight="1">
      <c r="A543" s="32"/>
      <c r="B543" s="32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</row>
    <row r="544" ht="39.0" customHeight="1">
      <c r="A544" s="32"/>
      <c r="B544" s="32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</row>
    <row r="545" ht="39.0" customHeight="1">
      <c r="A545" s="32"/>
      <c r="B545" s="32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</row>
    <row r="546" ht="39.0" customHeight="1">
      <c r="A546" s="32"/>
      <c r="B546" s="32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</row>
    <row r="547" ht="39.0" customHeight="1">
      <c r="A547" s="32"/>
      <c r="B547" s="32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</row>
    <row r="548" ht="39.0" customHeight="1">
      <c r="A548" s="32"/>
      <c r="B548" s="32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</row>
    <row r="549" ht="39.0" customHeight="1">
      <c r="A549" s="32"/>
      <c r="B549" s="32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</row>
    <row r="550" ht="39.0" customHeight="1">
      <c r="A550" s="32"/>
      <c r="B550" s="32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</row>
    <row r="551" ht="39.0" customHeight="1">
      <c r="A551" s="32"/>
      <c r="B551" s="32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</row>
    <row r="552" ht="39.0" customHeight="1">
      <c r="A552" s="32"/>
      <c r="B552" s="32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</row>
    <row r="553" ht="39.0" customHeight="1">
      <c r="A553" s="32"/>
      <c r="B553" s="32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</row>
    <row r="554" ht="39.0" customHeight="1">
      <c r="A554" s="32"/>
      <c r="B554" s="32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</row>
    <row r="555" ht="39.0" customHeight="1">
      <c r="A555" s="32"/>
      <c r="B555" s="32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</row>
    <row r="556" ht="39.0" customHeight="1">
      <c r="A556" s="32"/>
      <c r="B556" s="32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</row>
    <row r="557" ht="39.0" customHeight="1">
      <c r="A557" s="32"/>
      <c r="B557" s="32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</row>
    <row r="558" ht="39.0" customHeight="1">
      <c r="A558" s="32"/>
      <c r="B558" s="32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</row>
    <row r="559" ht="39.0" customHeight="1">
      <c r="A559" s="32"/>
      <c r="B559" s="32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</row>
    <row r="560" ht="39.0" customHeight="1">
      <c r="A560" s="32"/>
      <c r="B560" s="32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</row>
    <row r="561" ht="39.0" customHeight="1">
      <c r="A561" s="32"/>
      <c r="B561" s="32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</row>
    <row r="562" ht="39.0" customHeight="1">
      <c r="A562" s="32"/>
      <c r="B562" s="32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</row>
    <row r="563" ht="39.0" customHeight="1">
      <c r="A563" s="32"/>
      <c r="B563" s="32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</row>
    <row r="564" ht="39.0" customHeight="1">
      <c r="A564" s="32"/>
      <c r="B564" s="32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</row>
    <row r="565" ht="39.0" customHeight="1">
      <c r="A565" s="32"/>
      <c r="B565" s="32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</row>
    <row r="566" ht="39.0" customHeight="1">
      <c r="A566" s="32"/>
      <c r="B566" s="32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</row>
    <row r="567" ht="39.0" customHeight="1">
      <c r="A567" s="32"/>
      <c r="B567" s="32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</row>
    <row r="568" ht="39.0" customHeight="1">
      <c r="A568" s="32"/>
      <c r="B568" s="32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</row>
    <row r="569" ht="39.0" customHeight="1">
      <c r="A569" s="32"/>
      <c r="B569" s="32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</row>
    <row r="570" ht="39.0" customHeight="1">
      <c r="A570" s="32"/>
      <c r="B570" s="32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</row>
    <row r="571" ht="39.0" customHeight="1">
      <c r="A571" s="32"/>
      <c r="B571" s="32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</row>
    <row r="572" ht="39.0" customHeight="1">
      <c r="A572" s="32"/>
      <c r="B572" s="32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</row>
    <row r="573" ht="39.0" customHeight="1">
      <c r="A573" s="32"/>
      <c r="B573" s="32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</row>
    <row r="574" ht="39.0" customHeight="1">
      <c r="A574" s="32"/>
      <c r="B574" s="32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</row>
    <row r="575" ht="39.0" customHeight="1">
      <c r="A575" s="32"/>
      <c r="B575" s="32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</row>
    <row r="576" ht="39.0" customHeight="1">
      <c r="A576" s="32"/>
      <c r="B576" s="32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</row>
    <row r="577" ht="39.0" customHeight="1">
      <c r="A577" s="32"/>
      <c r="B577" s="32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</row>
    <row r="578" ht="39.0" customHeight="1">
      <c r="A578" s="32"/>
      <c r="B578" s="32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</row>
    <row r="579" ht="39.0" customHeight="1">
      <c r="A579" s="32"/>
      <c r="B579" s="32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</row>
    <row r="580" ht="39.0" customHeight="1">
      <c r="A580" s="32"/>
      <c r="B580" s="32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</row>
    <row r="581" ht="39.0" customHeight="1">
      <c r="A581" s="32"/>
      <c r="B581" s="32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</row>
    <row r="582" ht="39.0" customHeight="1">
      <c r="A582" s="32"/>
      <c r="B582" s="32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</row>
    <row r="583" ht="39.0" customHeight="1">
      <c r="A583" s="32"/>
      <c r="B583" s="32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</row>
    <row r="584" ht="39.0" customHeight="1">
      <c r="A584" s="32"/>
      <c r="B584" s="32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</row>
    <row r="585" ht="39.0" customHeight="1">
      <c r="A585" s="32"/>
      <c r="B585" s="32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</row>
    <row r="586" ht="39.0" customHeight="1">
      <c r="A586" s="32"/>
      <c r="B586" s="32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</row>
    <row r="587" ht="39.0" customHeight="1">
      <c r="A587" s="32"/>
      <c r="B587" s="32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</row>
    <row r="588" ht="39.0" customHeight="1">
      <c r="A588" s="32"/>
      <c r="B588" s="32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</row>
    <row r="589" ht="39.0" customHeight="1">
      <c r="A589" s="32"/>
      <c r="B589" s="32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</row>
    <row r="590" ht="39.0" customHeight="1">
      <c r="A590" s="32"/>
      <c r="B590" s="32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</row>
    <row r="591" ht="39.0" customHeight="1">
      <c r="A591" s="32"/>
      <c r="B591" s="32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</row>
    <row r="592" ht="39.0" customHeight="1">
      <c r="A592" s="32"/>
      <c r="B592" s="32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</row>
    <row r="593" ht="39.0" customHeight="1">
      <c r="A593" s="32"/>
      <c r="B593" s="32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</row>
    <row r="594" ht="39.0" customHeight="1">
      <c r="A594" s="32"/>
      <c r="B594" s="32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</row>
    <row r="595" ht="39.0" customHeight="1">
      <c r="A595" s="32"/>
      <c r="B595" s="32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</row>
    <row r="596" ht="39.0" customHeight="1">
      <c r="A596" s="32"/>
      <c r="B596" s="32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</row>
    <row r="597" ht="39.0" customHeight="1">
      <c r="A597" s="32"/>
      <c r="B597" s="32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</row>
    <row r="598" ht="39.0" customHeight="1">
      <c r="A598" s="32"/>
      <c r="B598" s="32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</row>
    <row r="599" ht="39.0" customHeight="1">
      <c r="A599" s="32"/>
      <c r="B599" s="32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</row>
    <row r="600" ht="39.0" customHeight="1">
      <c r="A600" s="32"/>
      <c r="B600" s="32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</row>
    <row r="601" ht="39.0" customHeight="1">
      <c r="A601" s="32"/>
      <c r="B601" s="32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</row>
    <row r="602" ht="39.0" customHeight="1">
      <c r="A602" s="32"/>
      <c r="B602" s="32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</row>
    <row r="603" ht="39.0" customHeight="1">
      <c r="A603" s="32"/>
      <c r="B603" s="32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</row>
    <row r="604" ht="39.0" customHeight="1">
      <c r="A604" s="32"/>
      <c r="B604" s="32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</row>
    <row r="605" ht="39.0" customHeight="1">
      <c r="A605" s="32"/>
      <c r="B605" s="32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</row>
    <row r="606" ht="39.0" customHeight="1">
      <c r="A606" s="32"/>
      <c r="B606" s="32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</row>
    <row r="607" ht="39.0" customHeight="1">
      <c r="A607" s="32"/>
      <c r="B607" s="32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</row>
    <row r="608" ht="39.0" customHeight="1">
      <c r="A608" s="32"/>
      <c r="B608" s="32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</row>
    <row r="609" ht="39.0" customHeight="1">
      <c r="A609" s="32"/>
      <c r="B609" s="32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</row>
    <row r="610" ht="39.0" customHeight="1">
      <c r="A610" s="32"/>
      <c r="B610" s="32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</row>
    <row r="611" ht="39.0" customHeight="1">
      <c r="A611" s="32"/>
      <c r="B611" s="32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</row>
    <row r="612" ht="39.0" customHeight="1">
      <c r="A612" s="32"/>
      <c r="B612" s="32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</row>
    <row r="613" ht="39.0" customHeight="1">
      <c r="A613" s="32"/>
      <c r="B613" s="32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</row>
    <row r="614" ht="39.0" customHeight="1">
      <c r="A614" s="32"/>
      <c r="B614" s="32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</row>
    <row r="615" ht="39.0" customHeight="1">
      <c r="A615" s="32"/>
      <c r="B615" s="32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</row>
    <row r="616" ht="39.0" customHeight="1">
      <c r="A616" s="32"/>
      <c r="B616" s="32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</row>
    <row r="617" ht="39.0" customHeight="1">
      <c r="A617" s="32"/>
      <c r="B617" s="32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</row>
    <row r="618" ht="39.0" customHeight="1">
      <c r="A618" s="32"/>
      <c r="B618" s="32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</row>
    <row r="619" ht="39.0" customHeight="1">
      <c r="A619" s="32"/>
      <c r="B619" s="32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</row>
    <row r="620" ht="39.0" customHeight="1">
      <c r="A620" s="32"/>
      <c r="B620" s="32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</row>
    <row r="621" ht="39.0" customHeight="1">
      <c r="A621" s="32"/>
      <c r="B621" s="32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</row>
    <row r="622" ht="39.0" customHeight="1">
      <c r="A622" s="32"/>
      <c r="B622" s="32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</row>
    <row r="623" ht="39.0" customHeight="1">
      <c r="A623" s="32"/>
      <c r="B623" s="32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</row>
    <row r="624" ht="39.0" customHeight="1">
      <c r="A624" s="32"/>
      <c r="B624" s="32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</row>
    <row r="625" ht="39.0" customHeight="1">
      <c r="A625" s="32"/>
      <c r="B625" s="32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</row>
    <row r="626" ht="39.0" customHeight="1">
      <c r="A626" s="32"/>
      <c r="B626" s="32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</row>
    <row r="627" ht="39.0" customHeight="1">
      <c r="A627" s="32"/>
      <c r="B627" s="32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</row>
    <row r="628" ht="39.0" customHeight="1">
      <c r="A628" s="32"/>
      <c r="B628" s="32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</row>
    <row r="629" ht="39.0" customHeight="1">
      <c r="A629" s="32"/>
      <c r="B629" s="32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</row>
    <row r="630" ht="39.0" customHeight="1">
      <c r="A630" s="32"/>
      <c r="B630" s="32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</row>
    <row r="631" ht="39.0" customHeight="1">
      <c r="A631" s="32"/>
      <c r="B631" s="32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</row>
    <row r="632" ht="39.0" customHeight="1">
      <c r="A632" s="32"/>
      <c r="B632" s="32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</row>
    <row r="633" ht="39.0" customHeight="1">
      <c r="A633" s="32"/>
      <c r="B633" s="32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</row>
    <row r="634" ht="39.0" customHeight="1">
      <c r="A634" s="32"/>
      <c r="B634" s="32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</row>
    <row r="635" ht="39.0" customHeight="1">
      <c r="A635" s="32"/>
      <c r="B635" s="32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</row>
    <row r="636" ht="39.0" customHeight="1">
      <c r="A636" s="32"/>
      <c r="B636" s="32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</row>
    <row r="637" ht="39.0" customHeight="1">
      <c r="A637" s="32"/>
      <c r="B637" s="32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</row>
    <row r="638" ht="39.0" customHeight="1">
      <c r="A638" s="32"/>
      <c r="B638" s="32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</row>
    <row r="639" ht="39.0" customHeight="1">
      <c r="A639" s="32"/>
      <c r="B639" s="32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</row>
    <row r="640" ht="39.0" customHeight="1">
      <c r="A640" s="32"/>
      <c r="B640" s="32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</row>
    <row r="641" ht="39.0" customHeight="1">
      <c r="A641" s="32"/>
      <c r="B641" s="32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</row>
    <row r="642" ht="39.0" customHeight="1">
      <c r="A642" s="32"/>
      <c r="B642" s="32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</row>
    <row r="643" ht="39.0" customHeight="1">
      <c r="A643" s="32"/>
      <c r="B643" s="32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</row>
    <row r="644" ht="39.0" customHeight="1">
      <c r="A644" s="32"/>
      <c r="B644" s="32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</row>
    <row r="645" ht="39.0" customHeight="1">
      <c r="A645" s="32"/>
      <c r="B645" s="32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</row>
    <row r="646" ht="39.0" customHeight="1">
      <c r="A646" s="32"/>
      <c r="B646" s="32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</row>
    <row r="647" ht="39.0" customHeight="1">
      <c r="A647" s="32"/>
      <c r="B647" s="32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</row>
    <row r="648" ht="39.0" customHeight="1">
      <c r="A648" s="32"/>
      <c r="B648" s="32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</row>
    <row r="649" ht="39.0" customHeight="1">
      <c r="A649" s="32"/>
      <c r="B649" s="32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</row>
    <row r="650" ht="39.0" customHeight="1">
      <c r="A650" s="32"/>
      <c r="B650" s="32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</row>
    <row r="651" ht="39.0" customHeight="1">
      <c r="A651" s="32"/>
      <c r="B651" s="32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</row>
    <row r="652" ht="39.0" customHeight="1">
      <c r="A652" s="32"/>
      <c r="B652" s="32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</row>
    <row r="653" ht="39.0" customHeight="1">
      <c r="A653" s="32"/>
      <c r="B653" s="32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</row>
    <row r="654" ht="39.0" customHeight="1">
      <c r="A654" s="32"/>
      <c r="B654" s="32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</row>
    <row r="655" ht="39.0" customHeight="1">
      <c r="A655" s="32"/>
      <c r="B655" s="32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</row>
    <row r="656" ht="39.0" customHeight="1">
      <c r="A656" s="32"/>
      <c r="B656" s="32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</row>
    <row r="657" ht="39.0" customHeight="1">
      <c r="A657" s="32"/>
      <c r="B657" s="32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</row>
    <row r="658" ht="39.0" customHeight="1">
      <c r="A658" s="32"/>
      <c r="B658" s="32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</row>
    <row r="659" ht="39.0" customHeight="1">
      <c r="A659" s="32"/>
      <c r="B659" s="32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</row>
    <row r="660" ht="39.0" customHeight="1">
      <c r="A660" s="32"/>
      <c r="B660" s="32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</row>
    <row r="661" ht="39.0" customHeight="1">
      <c r="A661" s="32"/>
      <c r="B661" s="32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</row>
    <row r="662" ht="39.0" customHeight="1">
      <c r="A662" s="32"/>
      <c r="B662" s="32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</row>
    <row r="663" ht="39.0" customHeight="1">
      <c r="A663" s="32"/>
      <c r="B663" s="32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</row>
    <row r="664" ht="39.0" customHeight="1">
      <c r="A664" s="32"/>
      <c r="B664" s="32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</row>
    <row r="665" ht="39.0" customHeight="1">
      <c r="A665" s="32"/>
      <c r="B665" s="32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</row>
    <row r="666" ht="39.0" customHeight="1">
      <c r="A666" s="32"/>
      <c r="B666" s="32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</row>
    <row r="667" ht="39.0" customHeight="1">
      <c r="A667" s="32"/>
      <c r="B667" s="32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</row>
    <row r="668" ht="39.0" customHeight="1">
      <c r="A668" s="32"/>
      <c r="B668" s="32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</row>
    <row r="669" ht="39.0" customHeight="1">
      <c r="A669" s="32"/>
      <c r="B669" s="32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</row>
    <row r="670" ht="39.0" customHeight="1">
      <c r="A670" s="32"/>
      <c r="B670" s="32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</row>
    <row r="671" ht="39.0" customHeight="1">
      <c r="A671" s="32"/>
      <c r="B671" s="32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</row>
    <row r="672" ht="39.0" customHeight="1">
      <c r="A672" s="32"/>
      <c r="B672" s="32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</row>
    <row r="673" ht="39.0" customHeight="1">
      <c r="A673" s="32"/>
      <c r="B673" s="32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</row>
    <row r="674" ht="39.0" customHeight="1">
      <c r="A674" s="32"/>
      <c r="B674" s="32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</row>
    <row r="675" ht="39.0" customHeight="1">
      <c r="A675" s="32"/>
      <c r="B675" s="32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</row>
    <row r="676" ht="39.0" customHeight="1">
      <c r="A676" s="32"/>
      <c r="B676" s="32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</row>
    <row r="677" ht="39.0" customHeight="1">
      <c r="A677" s="32"/>
      <c r="B677" s="32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</row>
    <row r="678" ht="39.0" customHeight="1">
      <c r="A678" s="32"/>
      <c r="B678" s="32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</row>
    <row r="679" ht="39.0" customHeight="1">
      <c r="A679" s="32"/>
      <c r="B679" s="32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</row>
    <row r="680" ht="39.0" customHeight="1">
      <c r="A680" s="32"/>
      <c r="B680" s="32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</row>
    <row r="681" ht="39.0" customHeight="1">
      <c r="A681" s="32"/>
      <c r="B681" s="32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</row>
    <row r="682" ht="39.0" customHeight="1">
      <c r="A682" s="32"/>
      <c r="B682" s="32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</row>
    <row r="683" ht="39.0" customHeight="1">
      <c r="A683" s="32"/>
      <c r="B683" s="32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</row>
    <row r="684" ht="39.0" customHeight="1">
      <c r="A684" s="32"/>
      <c r="B684" s="32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</row>
    <row r="685" ht="39.0" customHeight="1">
      <c r="A685" s="32"/>
      <c r="B685" s="32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</row>
    <row r="686" ht="39.0" customHeight="1">
      <c r="A686" s="32"/>
      <c r="B686" s="32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</row>
    <row r="687" ht="39.0" customHeight="1">
      <c r="A687" s="32"/>
      <c r="B687" s="32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</row>
    <row r="688" ht="39.0" customHeight="1">
      <c r="A688" s="32"/>
      <c r="B688" s="32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</row>
    <row r="689" ht="39.0" customHeight="1">
      <c r="A689" s="32"/>
      <c r="B689" s="32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</row>
    <row r="690" ht="39.0" customHeight="1">
      <c r="A690" s="32"/>
      <c r="B690" s="32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</row>
    <row r="691" ht="39.0" customHeight="1">
      <c r="A691" s="32"/>
      <c r="B691" s="32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</row>
    <row r="692" ht="39.0" customHeight="1">
      <c r="A692" s="32"/>
      <c r="B692" s="32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</row>
    <row r="693" ht="39.0" customHeight="1">
      <c r="A693" s="32"/>
      <c r="B693" s="32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</row>
    <row r="694" ht="39.0" customHeight="1">
      <c r="A694" s="32"/>
      <c r="B694" s="32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</row>
    <row r="695" ht="39.0" customHeight="1">
      <c r="A695" s="32"/>
      <c r="B695" s="32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</row>
    <row r="696" ht="39.0" customHeight="1">
      <c r="A696" s="32"/>
      <c r="B696" s="32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</row>
    <row r="697" ht="39.0" customHeight="1">
      <c r="A697" s="32"/>
      <c r="B697" s="32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</row>
    <row r="698" ht="39.0" customHeight="1">
      <c r="A698" s="32"/>
      <c r="B698" s="32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</row>
    <row r="699" ht="39.0" customHeight="1">
      <c r="A699" s="32"/>
      <c r="B699" s="32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</row>
    <row r="700" ht="39.0" customHeight="1">
      <c r="A700" s="32"/>
      <c r="B700" s="32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</row>
    <row r="701" ht="39.0" customHeight="1">
      <c r="A701" s="32"/>
      <c r="B701" s="32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</row>
    <row r="702" ht="39.0" customHeight="1">
      <c r="A702" s="32"/>
      <c r="B702" s="32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</row>
    <row r="703" ht="39.0" customHeight="1">
      <c r="A703" s="32"/>
      <c r="B703" s="32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</row>
    <row r="704" ht="39.0" customHeight="1">
      <c r="A704" s="32"/>
      <c r="B704" s="32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</row>
    <row r="705" ht="39.0" customHeight="1">
      <c r="A705" s="32"/>
      <c r="B705" s="32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</row>
    <row r="706" ht="39.0" customHeight="1">
      <c r="A706" s="32"/>
      <c r="B706" s="32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</row>
    <row r="707" ht="39.0" customHeight="1">
      <c r="A707" s="32"/>
      <c r="B707" s="32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</row>
    <row r="708" ht="39.0" customHeight="1">
      <c r="A708" s="32"/>
      <c r="B708" s="32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</row>
    <row r="709" ht="39.0" customHeight="1">
      <c r="A709" s="32"/>
      <c r="B709" s="32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</row>
    <row r="710" ht="39.0" customHeight="1">
      <c r="A710" s="32"/>
      <c r="B710" s="32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</row>
    <row r="711" ht="39.0" customHeight="1">
      <c r="A711" s="32"/>
      <c r="B711" s="32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</row>
    <row r="712" ht="39.0" customHeight="1">
      <c r="A712" s="32"/>
      <c r="B712" s="32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</row>
    <row r="713" ht="39.0" customHeight="1">
      <c r="A713" s="32"/>
      <c r="B713" s="32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</row>
    <row r="714" ht="39.0" customHeight="1">
      <c r="A714" s="32"/>
      <c r="B714" s="32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</row>
    <row r="715" ht="39.0" customHeight="1">
      <c r="A715" s="32"/>
      <c r="B715" s="32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</row>
    <row r="716" ht="39.0" customHeight="1">
      <c r="A716" s="32"/>
      <c r="B716" s="32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</row>
    <row r="717" ht="39.0" customHeight="1">
      <c r="A717" s="32"/>
      <c r="B717" s="32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</row>
    <row r="718" ht="39.0" customHeight="1">
      <c r="A718" s="32"/>
      <c r="B718" s="32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</row>
    <row r="719" ht="39.0" customHeight="1">
      <c r="A719" s="32"/>
      <c r="B719" s="32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</row>
    <row r="720" ht="39.0" customHeight="1">
      <c r="A720" s="32"/>
      <c r="B720" s="32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</row>
    <row r="721" ht="39.0" customHeight="1">
      <c r="A721" s="32"/>
      <c r="B721" s="32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</row>
    <row r="722" ht="39.0" customHeight="1">
      <c r="A722" s="32"/>
      <c r="B722" s="32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</row>
    <row r="723" ht="39.0" customHeight="1">
      <c r="A723" s="32"/>
      <c r="B723" s="32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</row>
    <row r="724" ht="39.0" customHeight="1">
      <c r="A724" s="32"/>
      <c r="B724" s="32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</row>
    <row r="725" ht="39.0" customHeight="1">
      <c r="A725" s="32"/>
      <c r="B725" s="32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</row>
    <row r="726" ht="39.0" customHeight="1">
      <c r="A726" s="32"/>
      <c r="B726" s="32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</row>
    <row r="727" ht="39.0" customHeight="1">
      <c r="A727" s="32"/>
      <c r="B727" s="32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</row>
    <row r="728" ht="39.0" customHeight="1">
      <c r="A728" s="32"/>
      <c r="B728" s="32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</row>
    <row r="729" ht="39.0" customHeight="1">
      <c r="A729" s="32"/>
      <c r="B729" s="32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</row>
    <row r="730" ht="39.0" customHeight="1">
      <c r="A730" s="32"/>
      <c r="B730" s="32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</row>
    <row r="731" ht="39.0" customHeight="1">
      <c r="A731" s="32"/>
      <c r="B731" s="32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</row>
    <row r="732" ht="39.0" customHeight="1">
      <c r="A732" s="32"/>
      <c r="B732" s="32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</row>
    <row r="733" ht="39.0" customHeight="1">
      <c r="A733" s="32"/>
      <c r="B733" s="32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</row>
    <row r="734" ht="39.0" customHeight="1">
      <c r="A734" s="32"/>
      <c r="B734" s="32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</row>
    <row r="735" ht="39.0" customHeight="1">
      <c r="A735" s="32"/>
      <c r="B735" s="32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</row>
    <row r="736" ht="39.0" customHeight="1">
      <c r="A736" s="32"/>
      <c r="B736" s="32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</row>
    <row r="737" ht="39.0" customHeight="1">
      <c r="A737" s="32"/>
      <c r="B737" s="32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</row>
    <row r="738" ht="39.0" customHeight="1">
      <c r="A738" s="32"/>
      <c r="B738" s="32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</row>
    <row r="739" ht="39.0" customHeight="1">
      <c r="A739" s="32"/>
      <c r="B739" s="32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</row>
    <row r="740" ht="39.0" customHeight="1">
      <c r="A740" s="32"/>
      <c r="B740" s="32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</row>
    <row r="741" ht="39.0" customHeight="1">
      <c r="A741" s="32"/>
      <c r="B741" s="32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</row>
    <row r="742" ht="39.0" customHeight="1">
      <c r="A742" s="32"/>
      <c r="B742" s="32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</row>
    <row r="743" ht="39.0" customHeight="1">
      <c r="A743" s="32"/>
      <c r="B743" s="32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</row>
    <row r="744" ht="39.0" customHeight="1">
      <c r="A744" s="32"/>
      <c r="B744" s="32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</row>
    <row r="745" ht="39.0" customHeight="1">
      <c r="A745" s="32"/>
      <c r="B745" s="32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</row>
    <row r="746" ht="39.0" customHeight="1">
      <c r="A746" s="32"/>
      <c r="B746" s="32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</row>
    <row r="747" ht="39.0" customHeight="1">
      <c r="A747" s="32"/>
      <c r="B747" s="32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</row>
    <row r="748" ht="39.0" customHeight="1">
      <c r="A748" s="32"/>
      <c r="B748" s="32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</row>
    <row r="749" ht="39.0" customHeight="1">
      <c r="A749" s="32"/>
      <c r="B749" s="32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</row>
    <row r="750" ht="39.0" customHeight="1">
      <c r="A750" s="32"/>
      <c r="B750" s="32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</row>
    <row r="751" ht="39.0" customHeight="1">
      <c r="A751" s="32"/>
      <c r="B751" s="32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</row>
    <row r="752" ht="39.0" customHeight="1">
      <c r="A752" s="32"/>
      <c r="B752" s="32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</row>
    <row r="753" ht="39.0" customHeight="1">
      <c r="A753" s="32"/>
      <c r="B753" s="32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</row>
    <row r="754" ht="39.0" customHeight="1">
      <c r="A754" s="32"/>
      <c r="B754" s="32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</row>
    <row r="755" ht="39.0" customHeight="1">
      <c r="A755" s="32"/>
      <c r="B755" s="32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</row>
    <row r="756" ht="39.0" customHeight="1">
      <c r="A756" s="32"/>
      <c r="B756" s="32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</row>
    <row r="757" ht="39.0" customHeight="1">
      <c r="A757" s="32"/>
      <c r="B757" s="32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</row>
    <row r="758" ht="39.0" customHeight="1">
      <c r="A758" s="32"/>
      <c r="B758" s="32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</row>
    <row r="759" ht="39.0" customHeight="1">
      <c r="A759" s="32"/>
      <c r="B759" s="32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</row>
    <row r="760" ht="39.0" customHeight="1">
      <c r="A760" s="32"/>
      <c r="B760" s="32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</row>
    <row r="761" ht="39.0" customHeight="1">
      <c r="A761" s="32"/>
      <c r="B761" s="32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</row>
    <row r="762" ht="39.0" customHeight="1">
      <c r="A762" s="32"/>
      <c r="B762" s="32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</row>
    <row r="763" ht="39.0" customHeight="1">
      <c r="A763" s="32"/>
      <c r="B763" s="32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</row>
    <row r="764" ht="39.0" customHeight="1">
      <c r="A764" s="32"/>
      <c r="B764" s="32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</row>
    <row r="765" ht="39.0" customHeight="1">
      <c r="A765" s="32"/>
      <c r="B765" s="32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</row>
    <row r="766" ht="39.0" customHeight="1">
      <c r="A766" s="32"/>
      <c r="B766" s="32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</row>
    <row r="767" ht="39.0" customHeight="1">
      <c r="A767" s="32"/>
      <c r="B767" s="32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</row>
    <row r="768" ht="39.0" customHeight="1">
      <c r="A768" s="32"/>
      <c r="B768" s="32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</row>
    <row r="769" ht="39.0" customHeight="1">
      <c r="A769" s="32"/>
      <c r="B769" s="32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</row>
    <row r="770" ht="39.0" customHeight="1">
      <c r="A770" s="32"/>
      <c r="B770" s="32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</row>
    <row r="771" ht="39.0" customHeight="1">
      <c r="A771" s="32"/>
      <c r="B771" s="32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</row>
    <row r="772" ht="39.0" customHeight="1">
      <c r="A772" s="32"/>
      <c r="B772" s="32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</row>
    <row r="773" ht="39.0" customHeight="1">
      <c r="A773" s="32"/>
      <c r="B773" s="32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</row>
    <row r="774" ht="39.0" customHeight="1">
      <c r="A774" s="32"/>
      <c r="B774" s="32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</row>
    <row r="775" ht="39.0" customHeight="1">
      <c r="A775" s="32"/>
      <c r="B775" s="32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</row>
    <row r="776" ht="39.0" customHeight="1">
      <c r="A776" s="32"/>
      <c r="B776" s="32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</row>
    <row r="777" ht="39.0" customHeight="1">
      <c r="A777" s="32"/>
      <c r="B777" s="32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</row>
    <row r="778" ht="39.0" customHeight="1">
      <c r="A778" s="32"/>
      <c r="B778" s="32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</row>
    <row r="779" ht="39.0" customHeight="1">
      <c r="A779" s="32"/>
      <c r="B779" s="32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</row>
    <row r="780" ht="39.0" customHeight="1">
      <c r="A780" s="32"/>
      <c r="B780" s="32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</row>
    <row r="781" ht="39.0" customHeight="1">
      <c r="A781" s="32"/>
      <c r="B781" s="32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</row>
    <row r="782" ht="39.0" customHeight="1">
      <c r="A782" s="32"/>
      <c r="B782" s="32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</row>
    <row r="783" ht="39.0" customHeight="1">
      <c r="A783" s="32"/>
      <c r="B783" s="32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</row>
    <row r="784" ht="39.0" customHeight="1">
      <c r="A784" s="32"/>
      <c r="B784" s="32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</row>
    <row r="785" ht="39.0" customHeight="1">
      <c r="A785" s="32"/>
      <c r="B785" s="32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</row>
    <row r="786" ht="39.0" customHeight="1">
      <c r="A786" s="32"/>
      <c r="B786" s="32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</row>
    <row r="787" ht="39.0" customHeight="1">
      <c r="A787" s="32"/>
      <c r="B787" s="32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</row>
    <row r="788" ht="39.0" customHeight="1">
      <c r="A788" s="32"/>
      <c r="B788" s="32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</row>
    <row r="789" ht="39.0" customHeight="1">
      <c r="A789" s="32"/>
      <c r="B789" s="32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</row>
    <row r="790" ht="39.0" customHeight="1">
      <c r="A790" s="32"/>
      <c r="B790" s="32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</row>
    <row r="791" ht="39.0" customHeight="1">
      <c r="A791" s="32"/>
      <c r="B791" s="32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</row>
    <row r="792" ht="39.0" customHeight="1">
      <c r="A792" s="32"/>
      <c r="B792" s="32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</row>
    <row r="793" ht="39.0" customHeight="1">
      <c r="A793" s="32"/>
      <c r="B793" s="32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</row>
    <row r="794" ht="39.0" customHeight="1">
      <c r="A794" s="32"/>
      <c r="B794" s="32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</row>
    <row r="795" ht="39.0" customHeight="1">
      <c r="A795" s="32"/>
      <c r="B795" s="32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</row>
    <row r="796" ht="39.0" customHeight="1">
      <c r="A796" s="32"/>
      <c r="B796" s="32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</row>
    <row r="797" ht="39.0" customHeight="1">
      <c r="A797" s="32"/>
      <c r="B797" s="32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</row>
    <row r="798" ht="39.0" customHeight="1">
      <c r="A798" s="32"/>
      <c r="B798" s="32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</row>
    <row r="799" ht="39.0" customHeight="1">
      <c r="A799" s="32"/>
      <c r="B799" s="32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</row>
    <row r="800" ht="39.0" customHeight="1">
      <c r="A800" s="32"/>
      <c r="B800" s="32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</row>
    <row r="801" ht="39.0" customHeight="1">
      <c r="A801" s="32"/>
      <c r="B801" s="32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</row>
    <row r="802" ht="39.0" customHeight="1">
      <c r="A802" s="32"/>
      <c r="B802" s="32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</row>
    <row r="803" ht="39.0" customHeight="1">
      <c r="A803" s="32"/>
      <c r="B803" s="32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</row>
    <row r="804" ht="39.0" customHeight="1">
      <c r="A804" s="32"/>
      <c r="B804" s="32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</row>
    <row r="805" ht="39.0" customHeight="1">
      <c r="A805" s="32"/>
      <c r="B805" s="32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</row>
    <row r="806" ht="39.0" customHeight="1">
      <c r="A806" s="32"/>
      <c r="B806" s="32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</row>
    <row r="807" ht="39.0" customHeight="1">
      <c r="A807" s="32"/>
      <c r="B807" s="32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</row>
    <row r="808" ht="39.0" customHeight="1">
      <c r="A808" s="32"/>
      <c r="B808" s="32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</row>
    <row r="809" ht="39.0" customHeight="1">
      <c r="A809" s="32"/>
      <c r="B809" s="32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</row>
    <row r="810" ht="39.0" customHeight="1">
      <c r="A810" s="32"/>
      <c r="B810" s="32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</row>
    <row r="811" ht="39.0" customHeight="1">
      <c r="A811" s="32"/>
      <c r="B811" s="32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</row>
    <row r="812" ht="39.0" customHeight="1">
      <c r="A812" s="32"/>
      <c r="B812" s="32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</row>
    <row r="813" ht="39.0" customHeight="1">
      <c r="A813" s="32"/>
      <c r="B813" s="32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</row>
    <row r="814" ht="39.0" customHeight="1">
      <c r="A814" s="32"/>
      <c r="B814" s="32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</row>
    <row r="815" ht="39.0" customHeight="1">
      <c r="A815" s="32"/>
      <c r="B815" s="32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</row>
    <row r="816" ht="39.0" customHeight="1">
      <c r="A816" s="32"/>
      <c r="B816" s="32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</row>
    <row r="817" ht="39.0" customHeight="1">
      <c r="A817" s="32"/>
      <c r="B817" s="32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</row>
    <row r="818" ht="39.0" customHeight="1">
      <c r="A818" s="32"/>
      <c r="B818" s="32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</row>
    <row r="819" ht="39.0" customHeight="1">
      <c r="A819" s="32"/>
      <c r="B819" s="32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</row>
    <row r="820" ht="39.0" customHeight="1">
      <c r="A820" s="32"/>
      <c r="B820" s="32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</row>
    <row r="821" ht="39.0" customHeight="1">
      <c r="A821" s="32"/>
      <c r="B821" s="32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</row>
    <row r="822" ht="39.0" customHeight="1">
      <c r="A822" s="32"/>
      <c r="B822" s="32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</row>
    <row r="823" ht="39.0" customHeight="1">
      <c r="A823" s="32"/>
      <c r="B823" s="32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</row>
    <row r="824" ht="39.0" customHeight="1">
      <c r="A824" s="32"/>
      <c r="B824" s="32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</row>
    <row r="825" ht="39.0" customHeight="1">
      <c r="A825" s="32"/>
      <c r="B825" s="32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</row>
    <row r="826" ht="39.0" customHeight="1">
      <c r="A826" s="32"/>
      <c r="B826" s="32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</row>
    <row r="827" ht="39.0" customHeight="1">
      <c r="A827" s="32"/>
      <c r="B827" s="32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</row>
    <row r="828" ht="39.0" customHeight="1">
      <c r="A828" s="32"/>
      <c r="B828" s="32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</row>
    <row r="829" ht="39.0" customHeight="1">
      <c r="A829" s="32"/>
      <c r="B829" s="32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</row>
    <row r="830" ht="39.0" customHeight="1">
      <c r="A830" s="32"/>
      <c r="B830" s="32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</row>
    <row r="831" ht="39.0" customHeight="1">
      <c r="A831" s="32"/>
      <c r="B831" s="32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</row>
    <row r="832" ht="39.0" customHeight="1">
      <c r="A832" s="32"/>
      <c r="B832" s="32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</row>
    <row r="833" ht="39.0" customHeight="1">
      <c r="A833" s="32"/>
      <c r="B833" s="32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</row>
    <row r="834" ht="39.0" customHeight="1">
      <c r="A834" s="32"/>
      <c r="B834" s="32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</row>
    <row r="835" ht="39.0" customHeight="1">
      <c r="A835" s="32"/>
      <c r="B835" s="32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</row>
    <row r="836" ht="39.0" customHeight="1">
      <c r="A836" s="32"/>
      <c r="B836" s="32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</row>
    <row r="837" ht="39.0" customHeight="1">
      <c r="A837" s="32"/>
      <c r="B837" s="32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</row>
    <row r="838" ht="39.0" customHeight="1">
      <c r="A838" s="32"/>
      <c r="B838" s="32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</row>
    <row r="839" ht="39.0" customHeight="1">
      <c r="A839" s="32"/>
      <c r="B839" s="32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</row>
    <row r="840" ht="39.0" customHeight="1">
      <c r="A840" s="32"/>
      <c r="B840" s="32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</row>
    <row r="841" ht="39.0" customHeight="1">
      <c r="A841" s="32"/>
      <c r="B841" s="32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</row>
    <row r="842" ht="39.0" customHeight="1">
      <c r="A842" s="32"/>
      <c r="B842" s="32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</row>
    <row r="843" ht="39.0" customHeight="1">
      <c r="A843" s="32"/>
      <c r="B843" s="32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</row>
    <row r="844" ht="39.0" customHeight="1">
      <c r="A844" s="32"/>
      <c r="B844" s="32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</row>
    <row r="845" ht="39.0" customHeight="1">
      <c r="A845" s="32"/>
      <c r="B845" s="32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</row>
    <row r="846" ht="39.0" customHeight="1">
      <c r="A846" s="32"/>
      <c r="B846" s="32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</row>
    <row r="847" ht="39.0" customHeight="1">
      <c r="A847" s="32"/>
      <c r="B847" s="32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</row>
    <row r="848" ht="39.0" customHeight="1">
      <c r="A848" s="32"/>
      <c r="B848" s="32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</row>
    <row r="849" ht="39.0" customHeight="1">
      <c r="A849" s="32"/>
      <c r="B849" s="32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</row>
    <row r="850" ht="39.0" customHeight="1">
      <c r="A850" s="32"/>
      <c r="B850" s="32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</row>
    <row r="851" ht="39.0" customHeight="1">
      <c r="A851" s="32"/>
      <c r="B851" s="32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</row>
    <row r="852" ht="39.0" customHeight="1">
      <c r="A852" s="32"/>
      <c r="B852" s="32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</row>
    <row r="853" ht="39.0" customHeight="1">
      <c r="A853" s="32"/>
      <c r="B853" s="32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</row>
    <row r="854" ht="39.0" customHeight="1">
      <c r="A854" s="32"/>
      <c r="B854" s="32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</row>
    <row r="855" ht="39.0" customHeight="1">
      <c r="A855" s="32"/>
      <c r="B855" s="32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</row>
    <row r="856" ht="39.0" customHeight="1">
      <c r="A856" s="32"/>
      <c r="B856" s="32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</row>
    <row r="857" ht="39.0" customHeight="1">
      <c r="A857" s="32"/>
      <c r="B857" s="32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</row>
    <row r="858" ht="39.0" customHeight="1">
      <c r="A858" s="32"/>
      <c r="B858" s="32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</row>
    <row r="859" ht="39.0" customHeight="1">
      <c r="A859" s="32"/>
      <c r="B859" s="32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</row>
    <row r="860" ht="39.0" customHeight="1">
      <c r="A860" s="32"/>
      <c r="B860" s="32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</row>
    <row r="861" ht="39.0" customHeight="1">
      <c r="A861" s="32"/>
      <c r="B861" s="32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</row>
    <row r="862" ht="39.0" customHeight="1">
      <c r="A862" s="32"/>
      <c r="B862" s="32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</row>
    <row r="863" ht="39.0" customHeight="1">
      <c r="A863" s="32"/>
      <c r="B863" s="32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</row>
    <row r="864" ht="39.0" customHeight="1">
      <c r="A864" s="32"/>
      <c r="B864" s="32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</row>
    <row r="865" ht="39.0" customHeight="1">
      <c r="A865" s="32"/>
      <c r="B865" s="32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</row>
    <row r="866" ht="39.0" customHeight="1">
      <c r="A866" s="32"/>
      <c r="B866" s="32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</row>
    <row r="867" ht="39.0" customHeight="1">
      <c r="A867" s="32"/>
      <c r="B867" s="32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</row>
    <row r="868" ht="39.0" customHeight="1">
      <c r="A868" s="32"/>
      <c r="B868" s="32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</row>
    <row r="869" ht="39.0" customHeight="1">
      <c r="A869" s="32"/>
      <c r="B869" s="32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</row>
    <row r="870" ht="39.0" customHeight="1">
      <c r="A870" s="32"/>
      <c r="B870" s="32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</row>
    <row r="871" ht="39.0" customHeight="1">
      <c r="A871" s="32"/>
      <c r="B871" s="32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</row>
    <row r="872" ht="39.0" customHeight="1">
      <c r="A872" s="32"/>
      <c r="B872" s="32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</row>
    <row r="873" ht="39.0" customHeight="1">
      <c r="A873" s="32"/>
      <c r="B873" s="32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</row>
    <row r="874" ht="39.0" customHeight="1">
      <c r="A874" s="32"/>
      <c r="B874" s="32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</row>
    <row r="875" ht="39.0" customHeight="1">
      <c r="A875" s="32"/>
      <c r="B875" s="32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</row>
    <row r="876" ht="39.0" customHeight="1">
      <c r="A876" s="32"/>
      <c r="B876" s="32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</row>
    <row r="877" ht="39.0" customHeight="1">
      <c r="A877" s="32"/>
      <c r="B877" s="32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</row>
    <row r="878" ht="39.0" customHeight="1">
      <c r="A878" s="32"/>
      <c r="B878" s="32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</row>
    <row r="879" ht="39.0" customHeight="1">
      <c r="A879" s="32"/>
      <c r="B879" s="32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</row>
    <row r="880" ht="39.0" customHeight="1">
      <c r="A880" s="32"/>
      <c r="B880" s="32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</row>
    <row r="881" ht="39.0" customHeight="1">
      <c r="A881" s="32"/>
      <c r="B881" s="32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</row>
    <row r="882" ht="39.0" customHeight="1">
      <c r="A882" s="32"/>
      <c r="B882" s="32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</row>
    <row r="883" ht="39.0" customHeight="1">
      <c r="A883" s="32"/>
      <c r="B883" s="32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</row>
    <row r="884" ht="39.0" customHeight="1">
      <c r="A884" s="32"/>
      <c r="B884" s="32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</row>
    <row r="885" ht="39.0" customHeight="1">
      <c r="A885" s="32"/>
      <c r="B885" s="32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</row>
    <row r="886" ht="39.0" customHeight="1">
      <c r="A886" s="32"/>
      <c r="B886" s="32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</row>
    <row r="887" ht="39.0" customHeight="1">
      <c r="A887" s="32"/>
      <c r="B887" s="32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</row>
    <row r="888" ht="39.0" customHeight="1">
      <c r="A888" s="32"/>
      <c r="B888" s="32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</row>
    <row r="889" ht="39.0" customHeight="1">
      <c r="A889" s="32"/>
      <c r="B889" s="32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</row>
    <row r="890" ht="39.0" customHeight="1">
      <c r="A890" s="32"/>
      <c r="B890" s="32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</row>
    <row r="891" ht="39.0" customHeight="1">
      <c r="A891" s="32"/>
      <c r="B891" s="32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</row>
    <row r="892" ht="39.0" customHeight="1">
      <c r="A892" s="32"/>
      <c r="B892" s="32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</row>
    <row r="893" ht="39.0" customHeight="1">
      <c r="A893" s="32"/>
      <c r="B893" s="32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</row>
    <row r="894" ht="39.0" customHeight="1">
      <c r="A894" s="32"/>
      <c r="B894" s="32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</row>
    <row r="895" ht="39.0" customHeight="1">
      <c r="A895" s="32"/>
      <c r="B895" s="32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</row>
    <row r="896" ht="39.0" customHeight="1">
      <c r="A896" s="32"/>
      <c r="B896" s="32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</row>
    <row r="897" ht="39.0" customHeight="1">
      <c r="A897" s="32"/>
      <c r="B897" s="32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</row>
    <row r="898" ht="39.0" customHeight="1">
      <c r="A898" s="32"/>
      <c r="B898" s="32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</row>
    <row r="899" ht="39.0" customHeight="1">
      <c r="A899" s="32"/>
      <c r="B899" s="32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</row>
    <row r="900" ht="39.0" customHeight="1">
      <c r="A900" s="32"/>
      <c r="B900" s="32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</row>
    <row r="901" ht="39.0" customHeight="1">
      <c r="A901" s="32"/>
      <c r="B901" s="32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</row>
    <row r="902" ht="39.0" customHeight="1">
      <c r="A902" s="32"/>
      <c r="B902" s="32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</row>
    <row r="903" ht="39.0" customHeight="1">
      <c r="A903" s="32"/>
      <c r="B903" s="32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</row>
    <row r="904" ht="39.0" customHeight="1">
      <c r="A904" s="32"/>
      <c r="B904" s="32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</row>
    <row r="905" ht="39.0" customHeight="1">
      <c r="A905" s="32"/>
      <c r="B905" s="32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</row>
    <row r="906" ht="39.0" customHeight="1">
      <c r="A906" s="32"/>
      <c r="B906" s="32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</row>
    <row r="907" ht="39.0" customHeight="1">
      <c r="A907" s="32"/>
      <c r="B907" s="32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</row>
    <row r="908" ht="39.0" customHeight="1">
      <c r="A908" s="32"/>
      <c r="B908" s="32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</row>
    <row r="909" ht="39.0" customHeight="1">
      <c r="A909" s="32"/>
      <c r="B909" s="32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</row>
    <row r="910" ht="39.0" customHeight="1">
      <c r="A910" s="32"/>
      <c r="B910" s="32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</row>
    <row r="911" ht="39.0" customHeight="1">
      <c r="A911" s="32"/>
      <c r="B911" s="32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</row>
    <row r="912" ht="39.0" customHeight="1">
      <c r="A912" s="32"/>
      <c r="B912" s="32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</row>
    <row r="913" ht="39.0" customHeight="1">
      <c r="A913" s="32"/>
      <c r="B913" s="32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</row>
    <row r="914" ht="39.0" customHeight="1">
      <c r="A914" s="32"/>
      <c r="B914" s="32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</row>
    <row r="915" ht="39.0" customHeight="1">
      <c r="A915" s="32"/>
      <c r="B915" s="32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</row>
    <row r="916" ht="39.0" customHeight="1">
      <c r="A916" s="32"/>
      <c r="B916" s="32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</row>
    <row r="917" ht="39.0" customHeight="1">
      <c r="A917" s="32"/>
      <c r="B917" s="32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</row>
    <row r="918" ht="39.0" customHeight="1">
      <c r="A918" s="32"/>
      <c r="B918" s="32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</row>
    <row r="919" ht="39.0" customHeight="1">
      <c r="A919" s="32"/>
      <c r="B919" s="32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</row>
    <row r="920" ht="39.0" customHeight="1">
      <c r="A920" s="32"/>
      <c r="B920" s="32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</row>
    <row r="921" ht="39.0" customHeight="1">
      <c r="A921" s="32"/>
      <c r="B921" s="32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</row>
    <row r="922" ht="39.0" customHeight="1">
      <c r="A922" s="32"/>
      <c r="B922" s="32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</row>
    <row r="923" ht="39.0" customHeight="1">
      <c r="A923" s="32"/>
      <c r="B923" s="32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</row>
    <row r="924" ht="39.0" customHeight="1">
      <c r="A924" s="32"/>
      <c r="B924" s="32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</row>
    <row r="925" ht="39.0" customHeight="1">
      <c r="A925" s="32"/>
      <c r="B925" s="32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</row>
    <row r="926" ht="39.0" customHeight="1">
      <c r="A926" s="32"/>
      <c r="B926" s="32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</row>
    <row r="927" ht="39.0" customHeight="1">
      <c r="A927" s="32"/>
      <c r="B927" s="32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</row>
    <row r="928" ht="39.0" customHeight="1">
      <c r="A928" s="32"/>
      <c r="B928" s="32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</row>
    <row r="929" ht="39.0" customHeight="1">
      <c r="A929" s="32"/>
      <c r="B929" s="32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</row>
    <row r="930" ht="39.0" customHeight="1">
      <c r="A930" s="32"/>
      <c r="B930" s="32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</row>
    <row r="931" ht="39.0" customHeight="1">
      <c r="A931" s="32"/>
      <c r="B931" s="32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</row>
    <row r="932" ht="39.0" customHeight="1">
      <c r="A932" s="32"/>
      <c r="B932" s="32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</row>
    <row r="933" ht="39.0" customHeight="1">
      <c r="A933" s="32"/>
      <c r="B933" s="32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</row>
    <row r="934" ht="39.0" customHeight="1">
      <c r="A934" s="32"/>
      <c r="B934" s="32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</row>
    <row r="935" ht="39.0" customHeight="1">
      <c r="A935" s="32"/>
      <c r="B935" s="32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</row>
    <row r="936" ht="39.0" customHeight="1">
      <c r="A936" s="32"/>
      <c r="B936" s="32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</row>
    <row r="937" ht="39.0" customHeight="1">
      <c r="A937" s="32"/>
      <c r="B937" s="32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</row>
    <row r="938" ht="39.0" customHeight="1">
      <c r="A938" s="32"/>
      <c r="B938" s="32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</row>
    <row r="939" ht="39.0" customHeight="1">
      <c r="A939" s="32"/>
      <c r="B939" s="32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</row>
    <row r="940" ht="39.0" customHeight="1">
      <c r="A940" s="32"/>
      <c r="B940" s="32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</row>
    <row r="941" ht="39.0" customHeight="1">
      <c r="A941" s="32"/>
      <c r="B941" s="32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</row>
    <row r="942" ht="39.0" customHeight="1">
      <c r="A942" s="32"/>
      <c r="B942" s="32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</row>
    <row r="943" ht="39.0" customHeight="1">
      <c r="A943" s="32"/>
      <c r="B943" s="32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</row>
    <row r="944" ht="39.0" customHeight="1">
      <c r="A944" s="32"/>
      <c r="B944" s="32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</row>
    <row r="945" ht="39.0" customHeight="1">
      <c r="A945" s="32"/>
      <c r="B945" s="32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</row>
    <row r="946" ht="39.0" customHeight="1">
      <c r="A946" s="32"/>
      <c r="B946" s="32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</row>
    <row r="947" ht="39.0" customHeight="1">
      <c r="A947" s="32"/>
      <c r="B947" s="32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</row>
    <row r="948" ht="39.0" customHeight="1">
      <c r="A948" s="32"/>
      <c r="B948" s="32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</row>
    <row r="949" ht="39.0" customHeight="1">
      <c r="A949" s="32"/>
      <c r="B949" s="32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</row>
    <row r="950" ht="39.0" customHeight="1">
      <c r="A950" s="32"/>
      <c r="B950" s="32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</row>
    <row r="951" ht="39.0" customHeight="1">
      <c r="A951" s="32"/>
      <c r="B951" s="32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</row>
    <row r="952" ht="39.0" customHeight="1">
      <c r="A952" s="32"/>
      <c r="B952" s="32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</row>
    <row r="953" ht="39.0" customHeight="1">
      <c r="A953" s="32"/>
      <c r="B953" s="32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</row>
    <row r="954" ht="39.0" customHeight="1">
      <c r="A954" s="32"/>
      <c r="B954" s="32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</row>
    <row r="955" ht="39.0" customHeight="1">
      <c r="A955" s="32"/>
      <c r="B955" s="32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</row>
    <row r="956" ht="39.0" customHeight="1">
      <c r="A956" s="32"/>
      <c r="B956" s="32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</row>
    <row r="957" ht="39.0" customHeight="1">
      <c r="A957" s="32"/>
      <c r="B957" s="32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</row>
    <row r="958" ht="39.0" customHeight="1">
      <c r="A958" s="32"/>
      <c r="B958" s="32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</row>
    <row r="959" ht="39.0" customHeight="1">
      <c r="A959" s="32"/>
      <c r="B959" s="32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</row>
    <row r="960" ht="39.0" customHeight="1">
      <c r="A960" s="32"/>
      <c r="B960" s="32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</row>
    <row r="961" ht="39.0" customHeight="1">
      <c r="A961" s="32"/>
      <c r="B961" s="32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</row>
    <row r="962" ht="39.0" customHeight="1">
      <c r="A962" s="32"/>
      <c r="B962" s="32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</row>
    <row r="963" ht="39.0" customHeight="1">
      <c r="A963" s="32"/>
      <c r="B963" s="32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</row>
    <row r="964" ht="39.0" customHeight="1">
      <c r="A964" s="32"/>
      <c r="B964" s="32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</row>
    <row r="965" ht="39.0" customHeight="1">
      <c r="A965" s="32"/>
      <c r="B965" s="32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</row>
    <row r="966" ht="39.0" customHeight="1">
      <c r="A966" s="32"/>
      <c r="B966" s="32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</row>
    <row r="967" ht="39.0" customHeight="1">
      <c r="A967" s="32"/>
      <c r="B967" s="32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</row>
    <row r="968" ht="39.0" customHeight="1">
      <c r="A968" s="32"/>
      <c r="B968" s="32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</row>
    <row r="969" ht="39.0" customHeight="1">
      <c r="A969" s="32"/>
      <c r="B969" s="32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</row>
    <row r="970" ht="39.0" customHeight="1">
      <c r="A970" s="32"/>
      <c r="B970" s="32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</row>
    <row r="971" ht="39.0" customHeight="1">
      <c r="A971" s="32"/>
      <c r="B971" s="32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</row>
    <row r="972" ht="39.0" customHeight="1">
      <c r="A972" s="32"/>
      <c r="B972" s="32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</row>
    <row r="973" ht="39.0" customHeight="1">
      <c r="A973" s="32"/>
      <c r="B973" s="32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</row>
    <row r="974" ht="39.0" customHeight="1">
      <c r="A974" s="32"/>
      <c r="B974" s="32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</row>
    <row r="975" ht="39.0" customHeight="1">
      <c r="A975" s="32"/>
      <c r="B975" s="32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</row>
    <row r="976" ht="39.0" customHeight="1">
      <c r="A976" s="32"/>
      <c r="B976" s="32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</row>
    <row r="977" ht="39.0" customHeight="1">
      <c r="A977" s="32"/>
      <c r="B977" s="32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</row>
    <row r="978" ht="39.0" customHeight="1">
      <c r="A978" s="32"/>
      <c r="B978" s="32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</row>
    <row r="979" ht="39.0" customHeight="1">
      <c r="A979" s="32"/>
      <c r="B979" s="32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</row>
    <row r="980" ht="39.0" customHeight="1">
      <c r="A980" s="32"/>
      <c r="B980" s="32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</row>
    <row r="981" ht="39.0" customHeight="1">
      <c r="A981" s="32"/>
      <c r="B981" s="32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</row>
    <row r="982" ht="39.0" customHeight="1">
      <c r="A982" s="32"/>
      <c r="B982" s="32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</row>
    <row r="983" ht="39.0" customHeight="1">
      <c r="A983" s="32"/>
      <c r="B983" s="32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</row>
    <row r="984" ht="39.0" customHeight="1">
      <c r="A984" s="32"/>
      <c r="B984" s="32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</row>
    <row r="985" ht="39.0" customHeight="1">
      <c r="A985" s="32"/>
      <c r="B985" s="32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</row>
    <row r="986" ht="39.0" customHeight="1">
      <c r="A986" s="32"/>
      <c r="B986" s="32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</row>
    <row r="987" ht="39.0" customHeight="1">
      <c r="A987" s="32"/>
      <c r="B987" s="32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</row>
    <row r="988" ht="39.0" customHeight="1">
      <c r="A988" s="32"/>
      <c r="B988" s="32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</row>
    <row r="989" ht="39.0" customHeight="1">
      <c r="A989" s="32"/>
      <c r="B989" s="32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</row>
    <row r="990" ht="39.0" customHeight="1">
      <c r="A990" s="32"/>
      <c r="B990" s="32"/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</row>
    <row r="991" ht="39.0" customHeight="1">
      <c r="A991" s="32"/>
      <c r="B991" s="32"/>
      <c r="C991" s="32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</row>
    <row r="992" ht="39.0" customHeight="1">
      <c r="A992" s="32"/>
      <c r="B992" s="32"/>
      <c r="C992" s="32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</row>
    <row r="993" ht="39.0" customHeight="1">
      <c r="A993" s="32"/>
      <c r="B993" s="32"/>
      <c r="C993" s="32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</row>
    <row r="994" ht="39.0" customHeight="1">
      <c r="A994" s="32"/>
      <c r="B994" s="32"/>
      <c r="C994" s="32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</row>
    <row r="995" ht="39.0" customHeight="1">
      <c r="A995" s="32"/>
      <c r="B995" s="32"/>
      <c r="C995" s="32"/>
      <c r="D995" s="32"/>
      <c r="E995" s="32"/>
      <c r="F995" s="32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</row>
    <row r="996" ht="39.0" customHeight="1">
      <c r="A996" s="32"/>
      <c r="B996" s="32"/>
      <c r="C996" s="32"/>
      <c r="D996" s="32"/>
      <c r="E996" s="32"/>
      <c r="F996" s="32"/>
      <c r="G996" s="32"/>
      <c r="H996" s="32"/>
      <c r="I996" s="32"/>
      <c r="J996" s="32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32"/>
      <c r="X996" s="32"/>
      <c r="Y996" s="32"/>
      <c r="Z996" s="32"/>
    </row>
    <row r="997" ht="39.0" customHeight="1">
      <c r="A997" s="32"/>
      <c r="B997" s="32"/>
      <c r="C997" s="32"/>
      <c r="D997" s="32"/>
      <c r="E997" s="32"/>
      <c r="F997" s="32"/>
      <c r="G997" s="32"/>
      <c r="H997" s="32"/>
      <c r="I997" s="32"/>
      <c r="J997" s="32"/>
      <c r="K997" s="32"/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  <c r="W997" s="32"/>
      <c r="X997" s="32"/>
      <c r="Y997" s="32"/>
      <c r="Z997" s="32"/>
    </row>
    <row r="998" ht="39.0" customHeight="1">
      <c r="A998" s="32"/>
      <c r="B998" s="32"/>
      <c r="C998" s="32"/>
      <c r="D998" s="32"/>
      <c r="E998" s="32"/>
      <c r="F998" s="32"/>
      <c r="G998" s="32"/>
      <c r="H998" s="32"/>
      <c r="I998" s="32"/>
      <c r="J998" s="32"/>
      <c r="K998" s="32"/>
      <c r="L998" s="32"/>
      <c r="M998" s="32"/>
      <c r="N998" s="32"/>
      <c r="O998" s="32"/>
      <c r="P998" s="32"/>
      <c r="Q998" s="32"/>
      <c r="R998" s="32"/>
      <c r="S998" s="32"/>
      <c r="T998" s="32"/>
      <c r="U998" s="32"/>
      <c r="V998" s="32"/>
      <c r="W998" s="32"/>
      <c r="X998" s="32"/>
      <c r="Y998" s="32"/>
      <c r="Z998" s="32"/>
    </row>
    <row r="999" ht="39.0" customHeight="1">
      <c r="A999" s="32"/>
      <c r="B999" s="32"/>
      <c r="C999" s="32"/>
      <c r="D999" s="32"/>
      <c r="E999" s="32"/>
      <c r="F999" s="32"/>
      <c r="G999" s="32"/>
      <c r="H999" s="32"/>
      <c r="I999" s="32"/>
      <c r="J999" s="32"/>
      <c r="K999" s="32"/>
      <c r="L999" s="32"/>
      <c r="M999" s="32"/>
      <c r="N999" s="32"/>
      <c r="O999" s="32"/>
      <c r="P999" s="32"/>
      <c r="Q999" s="32"/>
      <c r="R999" s="32"/>
      <c r="S999" s="32"/>
      <c r="T999" s="32"/>
      <c r="U999" s="32"/>
      <c r="V999" s="32"/>
      <c r="W999" s="32"/>
      <c r="X999" s="32"/>
      <c r="Y999" s="32"/>
      <c r="Z999" s="32"/>
    </row>
    <row r="1000" ht="39.0" customHeight="1">
      <c r="A1000" s="32"/>
      <c r="B1000" s="32"/>
      <c r="C1000" s="32"/>
      <c r="D1000" s="32"/>
      <c r="E1000" s="32"/>
      <c r="F1000" s="32"/>
      <c r="G1000" s="32"/>
      <c r="H1000" s="32"/>
      <c r="I1000" s="32"/>
      <c r="J1000" s="32"/>
      <c r="K1000" s="32"/>
      <c r="L1000" s="32"/>
      <c r="M1000" s="32"/>
      <c r="N1000" s="32"/>
      <c r="O1000" s="32"/>
      <c r="P1000" s="32"/>
      <c r="Q1000" s="32"/>
      <c r="R1000" s="32"/>
      <c r="S1000" s="32"/>
      <c r="T1000" s="32"/>
      <c r="U1000" s="32"/>
      <c r="V1000" s="32"/>
      <c r="W1000" s="32"/>
      <c r="X1000" s="32"/>
      <c r="Y1000" s="32"/>
      <c r="Z1000" s="32"/>
    </row>
  </sheetData>
  <printOptions/>
  <pageMargins bottom="0.787401575" footer="0.0" header="0.0" left="0.511811024" right="0.511811024" top="0.787401575"/>
  <pageSetup orientation="landscape"/>
  <drawing r:id="rId1"/>
  <tableParts count="1">
    <tablePart r:id="rId3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workbookViewId="0"/>
  </sheetViews>
  <sheetFormatPr customHeight="1" defaultColWidth="12.63" defaultRowHeight="15.0"/>
  <cols>
    <col customWidth="1" min="1" max="1" width="20.75"/>
    <col customWidth="1" min="2" max="2" width="27.88"/>
    <col customWidth="1" min="3" max="3" width="101.25"/>
    <col customWidth="1" min="4" max="4" width="87.38"/>
    <col customWidth="1" min="5" max="5" width="83.0"/>
    <col customWidth="1" min="6" max="6" width="28.0"/>
    <col customWidth="1" min="7" max="7" width="24.0"/>
    <col customWidth="1" min="8" max="8" width="32.13"/>
    <col customWidth="1" min="9" max="15" width="8.88"/>
    <col customWidth="1" min="16" max="26" width="8.63"/>
  </cols>
  <sheetData>
    <row r="1" ht="27.75" customHeight="1">
      <c r="A1" s="35" t="s">
        <v>46</v>
      </c>
      <c r="B1" s="35" t="s">
        <v>242</v>
      </c>
      <c r="C1" s="35" t="s">
        <v>243</v>
      </c>
      <c r="D1" s="35" t="s">
        <v>244</v>
      </c>
      <c r="E1" s="35" t="s">
        <v>203</v>
      </c>
      <c r="F1" s="35" t="s">
        <v>245</v>
      </c>
      <c r="G1" s="35" t="s">
        <v>246</v>
      </c>
      <c r="H1" s="35" t="s">
        <v>247</v>
      </c>
      <c r="I1" s="30"/>
      <c r="J1" s="30"/>
      <c r="K1" s="30"/>
      <c r="L1" s="30"/>
      <c r="M1" s="30"/>
      <c r="N1" s="30"/>
      <c r="O1" s="30" t="s">
        <v>248</v>
      </c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</row>
    <row r="2" ht="27.75" hidden="1" customHeight="1">
      <c r="A2" s="36" t="s">
        <v>33</v>
      </c>
      <c r="B2" s="37">
        <v>1.0</v>
      </c>
      <c r="C2" s="37" t="s">
        <v>249</v>
      </c>
      <c r="D2" s="37" t="s">
        <v>248</v>
      </c>
      <c r="E2" s="38" t="s">
        <v>250</v>
      </c>
      <c r="F2" s="37">
        <v>1.0</v>
      </c>
      <c r="G2" s="37">
        <f t="array" ref="G2">XLOOKUP(USO_ZONA!$A2,MACROZONAS!B:B,MACROZONAS!A:A)</f>
        <v>1</v>
      </c>
      <c r="H2" s="37">
        <f t="array" ref="H2">XLOOKUP(USO_ZONA!$C2,USOS!H:H,USOS!G:G)</f>
        <v>1</v>
      </c>
      <c r="I2" s="32"/>
      <c r="J2" s="32"/>
      <c r="K2" s="32"/>
      <c r="L2" s="32"/>
      <c r="M2" s="32"/>
      <c r="N2" s="32"/>
      <c r="O2" s="32" t="s">
        <v>251</v>
      </c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</row>
    <row r="3" ht="27.75" hidden="1" customHeight="1">
      <c r="A3" s="39" t="s">
        <v>28</v>
      </c>
      <c r="B3" s="39">
        <v>1.0</v>
      </c>
      <c r="C3" s="39" t="s">
        <v>249</v>
      </c>
      <c r="D3" s="39" t="s">
        <v>248</v>
      </c>
      <c r="E3" s="40" t="s">
        <v>250</v>
      </c>
      <c r="F3" s="39">
        <v>2.0</v>
      </c>
      <c r="G3" s="39">
        <f t="array" ref="G3">XLOOKUP(USO_ZONA!$A3,MACROZONAS!B:B,MACROZONAS!A:A)</f>
        <v>2</v>
      </c>
      <c r="H3" s="39">
        <f t="array" ref="H3">XLOOKUP(USO_ZONA!$C3,USOS!H:H,USOS!G:G)</f>
        <v>1</v>
      </c>
      <c r="I3" s="32"/>
      <c r="J3" s="32"/>
      <c r="K3" s="32"/>
      <c r="L3" s="32"/>
      <c r="M3" s="32"/>
      <c r="N3" s="32"/>
      <c r="O3" s="32" t="s">
        <v>252</v>
      </c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</row>
    <row r="4" ht="27.75" hidden="1" customHeight="1">
      <c r="A4" s="37" t="s">
        <v>42</v>
      </c>
      <c r="B4" s="37">
        <v>1.0</v>
      </c>
      <c r="C4" s="37" t="s">
        <v>249</v>
      </c>
      <c r="D4" s="37" t="s">
        <v>248</v>
      </c>
      <c r="E4" s="38" t="s">
        <v>250</v>
      </c>
      <c r="F4" s="37">
        <v>3.0</v>
      </c>
      <c r="G4" s="37">
        <f t="array" ref="G4">XLOOKUP(USO_ZONA!$A4,MACROZONAS!B:B,MACROZONAS!A:A)</f>
        <v>3</v>
      </c>
      <c r="H4" s="37">
        <f t="array" ref="H4">XLOOKUP(USO_ZONA!$C4,USOS!H:H,USOS!G:G)</f>
        <v>1</v>
      </c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</row>
    <row r="5" ht="27.75" hidden="1" customHeight="1">
      <c r="A5" s="41" t="s">
        <v>18</v>
      </c>
      <c r="B5" s="39">
        <v>1.0</v>
      </c>
      <c r="C5" s="39" t="s">
        <v>249</v>
      </c>
      <c r="D5" s="39" t="s">
        <v>248</v>
      </c>
      <c r="E5" s="40" t="s">
        <v>250</v>
      </c>
      <c r="F5" s="39">
        <v>4.0</v>
      </c>
      <c r="G5" s="39">
        <f t="array" ref="G5">XLOOKUP(USO_ZONA!$A5,MACROZONAS!B:B,MACROZONAS!A:A)</f>
        <v>4</v>
      </c>
      <c r="H5" s="39">
        <f t="array" ref="H5">XLOOKUP(USO_ZONA!$C5,USOS!H:H,USOS!G:G)</f>
        <v>1</v>
      </c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</row>
    <row r="6" ht="27.75" hidden="1" customHeight="1">
      <c r="A6" s="37" t="s">
        <v>39</v>
      </c>
      <c r="B6" s="37">
        <v>1.0</v>
      </c>
      <c r="C6" s="37" t="s">
        <v>249</v>
      </c>
      <c r="D6" s="37" t="s">
        <v>248</v>
      </c>
      <c r="E6" s="38" t="s">
        <v>250</v>
      </c>
      <c r="F6" s="37">
        <v>5.0</v>
      </c>
      <c r="G6" s="37">
        <f t="array" ref="G6">XLOOKUP(USO_ZONA!$A6,MACROZONAS!B:B,MACROZONAS!A:A)</f>
        <v>5</v>
      </c>
      <c r="H6" s="37">
        <f t="array" ref="H6">XLOOKUP(USO_ZONA!$C6,USOS!H:H,USOS!G:G)</f>
        <v>1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</row>
    <row r="7" ht="27.75" hidden="1" customHeight="1">
      <c r="A7" s="39" t="s">
        <v>29</v>
      </c>
      <c r="B7" s="39">
        <v>1.0</v>
      </c>
      <c r="C7" s="39" t="s">
        <v>249</v>
      </c>
      <c r="D7" s="39" t="s">
        <v>248</v>
      </c>
      <c r="E7" s="40" t="s">
        <v>253</v>
      </c>
      <c r="F7" s="39">
        <v>6.0</v>
      </c>
      <c r="G7" s="39">
        <f t="array" ref="G7">XLOOKUP(USO_ZONA!$A7,MACROZONAS!B:B,MACROZONAS!A:A)</f>
        <v>6</v>
      </c>
      <c r="H7" s="39">
        <f t="array" ref="H7">XLOOKUP(USO_ZONA!$C7,USOS!H:H,USOS!G:G)</f>
        <v>1</v>
      </c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</row>
    <row r="8" ht="27.75" hidden="1" customHeight="1">
      <c r="A8" s="37" t="s">
        <v>43</v>
      </c>
      <c r="B8" s="37">
        <v>1.0</v>
      </c>
      <c r="C8" s="37" t="s">
        <v>249</v>
      </c>
      <c r="D8" s="37" t="s">
        <v>248</v>
      </c>
      <c r="E8" s="38" t="s">
        <v>253</v>
      </c>
      <c r="F8" s="37">
        <v>7.0</v>
      </c>
      <c r="G8" s="37">
        <f t="array" ref="G8">XLOOKUP(USO_ZONA!$A8,MACROZONAS!B:B,MACROZONAS!A:A)</f>
        <v>7</v>
      </c>
      <c r="H8" s="37">
        <f t="array" ref="H8">XLOOKUP(USO_ZONA!$C8,USOS!H:H,USOS!G:G)</f>
        <v>1</v>
      </c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</row>
    <row r="9" ht="27.75" hidden="1" customHeight="1">
      <c r="A9" s="39" t="s">
        <v>33</v>
      </c>
      <c r="B9" s="39">
        <v>2.0</v>
      </c>
      <c r="C9" s="39" t="s">
        <v>254</v>
      </c>
      <c r="D9" s="39" t="s">
        <v>248</v>
      </c>
      <c r="E9" s="40" t="s">
        <v>253</v>
      </c>
      <c r="F9" s="39">
        <v>8.0</v>
      </c>
      <c r="G9" s="39">
        <f t="array" ref="G9">XLOOKUP(USO_ZONA!$A9,MACROZONAS!B:B,MACROZONAS!A:A)</f>
        <v>1</v>
      </c>
      <c r="H9" s="39">
        <f t="array" ref="H9">XLOOKUP(USO_ZONA!$C9,USOS!H:H,USOS!G:G)</f>
        <v>2</v>
      </c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</row>
    <row r="10" ht="27.75" hidden="1" customHeight="1">
      <c r="A10" s="37" t="s">
        <v>28</v>
      </c>
      <c r="B10" s="37">
        <v>2.0</v>
      </c>
      <c r="C10" s="37" t="s">
        <v>254</v>
      </c>
      <c r="D10" s="37" t="s">
        <v>248</v>
      </c>
      <c r="E10" s="38" t="s">
        <v>253</v>
      </c>
      <c r="F10" s="37">
        <v>9.0</v>
      </c>
      <c r="G10" s="37">
        <f t="array" ref="G10">XLOOKUP(USO_ZONA!$A10,MACROZONAS!B:B,MACROZONAS!A:A)</f>
        <v>2</v>
      </c>
      <c r="H10" s="37">
        <f t="array" ref="H10">XLOOKUP(USO_ZONA!$C10,USOS!H:H,USOS!G:G)</f>
        <v>2</v>
      </c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</row>
    <row r="11" ht="27.75" hidden="1" customHeight="1">
      <c r="A11" s="39" t="s">
        <v>42</v>
      </c>
      <c r="B11" s="39">
        <v>2.0</v>
      </c>
      <c r="C11" s="39" t="s">
        <v>254</v>
      </c>
      <c r="D11" s="39" t="s">
        <v>248</v>
      </c>
      <c r="E11" s="40" t="s">
        <v>253</v>
      </c>
      <c r="F11" s="39">
        <v>10.0</v>
      </c>
      <c r="G11" s="39">
        <f t="array" ref="G11">XLOOKUP(USO_ZONA!$A11,MACROZONAS!B:B,MACROZONAS!A:A)</f>
        <v>3</v>
      </c>
      <c r="H11" s="39">
        <f t="array" ref="H11">XLOOKUP(USO_ZONA!$C11,USOS!H:H,USOS!G:G)</f>
        <v>2</v>
      </c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</row>
    <row r="12" ht="27.75" hidden="1" customHeight="1">
      <c r="A12" s="37" t="s">
        <v>18</v>
      </c>
      <c r="B12" s="37">
        <v>2.0</v>
      </c>
      <c r="C12" s="37" t="s">
        <v>254</v>
      </c>
      <c r="D12" s="37" t="s">
        <v>248</v>
      </c>
      <c r="E12" s="38" t="s">
        <v>253</v>
      </c>
      <c r="F12" s="37">
        <v>11.0</v>
      </c>
      <c r="G12" s="37">
        <f t="array" ref="G12">XLOOKUP(USO_ZONA!$A12,MACROZONAS!B:B,MACROZONAS!A:A)</f>
        <v>4</v>
      </c>
      <c r="H12" s="37">
        <f t="array" ref="H12">XLOOKUP(USO_ZONA!$C12,USOS!H:H,USOS!G:G)</f>
        <v>2</v>
      </c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</row>
    <row r="13" ht="27.75" hidden="1" customHeight="1">
      <c r="A13" s="39" t="s">
        <v>39</v>
      </c>
      <c r="B13" s="39">
        <v>2.0</v>
      </c>
      <c r="C13" s="39" t="s">
        <v>254</v>
      </c>
      <c r="D13" s="39" t="s">
        <v>251</v>
      </c>
      <c r="E13" s="39"/>
      <c r="F13" s="39">
        <v>12.0</v>
      </c>
      <c r="G13" s="39">
        <f t="array" ref="G13">XLOOKUP(USO_ZONA!$A13,MACROZONAS!B:B,MACROZONAS!A:A)</f>
        <v>5</v>
      </c>
      <c r="H13" s="39">
        <f t="array" ref="H13">XLOOKUP(USO_ZONA!$C13,USOS!H:H,USOS!G:G)</f>
        <v>2</v>
      </c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</row>
    <row r="14" ht="27.75" hidden="1" customHeight="1">
      <c r="A14" s="37" t="s">
        <v>29</v>
      </c>
      <c r="B14" s="37">
        <v>2.0</v>
      </c>
      <c r="C14" s="37" t="s">
        <v>254</v>
      </c>
      <c r="D14" s="37" t="s">
        <v>251</v>
      </c>
      <c r="E14" s="37"/>
      <c r="F14" s="37">
        <v>13.0</v>
      </c>
      <c r="G14" s="37">
        <f t="array" ref="G14">XLOOKUP(USO_ZONA!$A14,MACROZONAS!B:B,MACROZONAS!A:A)</f>
        <v>6</v>
      </c>
      <c r="H14" s="37">
        <f t="array" ref="H14">XLOOKUP(USO_ZONA!$C14,USOS!H:H,USOS!G:G)</f>
        <v>2</v>
      </c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</row>
    <row r="15" ht="27.75" hidden="1" customHeight="1">
      <c r="A15" s="39" t="s">
        <v>43</v>
      </c>
      <c r="B15" s="39">
        <v>2.0</v>
      </c>
      <c r="C15" s="39" t="s">
        <v>254</v>
      </c>
      <c r="D15" s="39" t="s">
        <v>251</v>
      </c>
      <c r="E15" s="39"/>
      <c r="F15" s="39">
        <v>14.0</v>
      </c>
      <c r="G15" s="39">
        <f t="array" ref="G15">XLOOKUP(USO_ZONA!$A15,MACROZONAS!B:B,MACROZONAS!A:A)</f>
        <v>7</v>
      </c>
      <c r="H15" s="39">
        <f t="array" ref="H15">XLOOKUP(USO_ZONA!$C15,USOS!H:H,USOS!G:G)</f>
        <v>2</v>
      </c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ht="27.75" hidden="1" customHeight="1">
      <c r="A16" s="37" t="s">
        <v>33</v>
      </c>
      <c r="B16" s="37">
        <v>3.0</v>
      </c>
      <c r="C16" s="37" t="s">
        <v>255</v>
      </c>
      <c r="D16" s="37" t="s">
        <v>248</v>
      </c>
      <c r="E16" s="38" t="s">
        <v>256</v>
      </c>
      <c r="F16" s="37">
        <v>15.0</v>
      </c>
      <c r="G16" s="37">
        <f t="array" ref="G16">XLOOKUP(USO_ZONA!$A16,MACROZONAS!B:B,MACROZONAS!A:A)</f>
        <v>1</v>
      </c>
      <c r="H16" s="37">
        <f t="array" ref="H16">XLOOKUP(USO_ZONA!$C16,USOS!H:H,USOS!G:G)</f>
        <v>3</v>
      </c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</row>
    <row r="17" ht="27.75" hidden="1" customHeight="1">
      <c r="A17" s="39" t="s">
        <v>28</v>
      </c>
      <c r="B17" s="39">
        <v>3.0</v>
      </c>
      <c r="C17" s="39" t="s">
        <v>255</v>
      </c>
      <c r="D17" s="39" t="s">
        <v>248</v>
      </c>
      <c r="E17" s="40" t="s">
        <v>256</v>
      </c>
      <c r="F17" s="39">
        <v>16.0</v>
      </c>
      <c r="G17" s="39">
        <f t="array" ref="G17">XLOOKUP(USO_ZONA!$A17,MACROZONAS!B:B,MACROZONAS!A:A)</f>
        <v>2</v>
      </c>
      <c r="H17" s="39">
        <f t="array" ref="H17">XLOOKUP(USO_ZONA!$C17,USOS!H:H,USOS!G:G)</f>
        <v>3</v>
      </c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</row>
    <row r="18" ht="27.75" hidden="1" customHeight="1">
      <c r="A18" s="37" t="s">
        <v>42</v>
      </c>
      <c r="B18" s="37">
        <v>3.0</v>
      </c>
      <c r="C18" s="37" t="s">
        <v>255</v>
      </c>
      <c r="D18" s="37" t="s">
        <v>248</v>
      </c>
      <c r="E18" s="38" t="s">
        <v>256</v>
      </c>
      <c r="F18" s="37">
        <v>17.0</v>
      </c>
      <c r="G18" s="37">
        <f t="array" ref="G18">XLOOKUP(USO_ZONA!$A18,MACROZONAS!B:B,MACROZONAS!A:A)</f>
        <v>3</v>
      </c>
      <c r="H18" s="37">
        <f t="array" ref="H18">XLOOKUP(USO_ZONA!$C18,USOS!H:H,USOS!G:G)</f>
        <v>3</v>
      </c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</row>
    <row r="19" ht="27.75" hidden="1" customHeight="1">
      <c r="A19" s="39" t="s">
        <v>18</v>
      </c>
      <c r="B19" s="39">
        <v>3.0</v>
      </c>
      <c r="C19" s="39" t="s">
        <v>255</v>
      </c>
      <c r="D19" s="39" t="s">
        <v>248</v>
      </c>
      <c r="E19" s="40" t="s">
        <v>257</v>
      </c>
      <c r="F19" s="39">
        <v>18.0</v>
      </c>
      <c r="G19" s="39">
        <f t="array" ref="G19">XLOOKUP(USO_ZONA!$A19,MACROZONAS!B:B,MACROZONAS!A:A)</f>
        <v>4</v>
      </c>
      <c r="H19" s="39">
        <f t="array" ref="H19">XLOOKUP(USO_ZONA!$C19,USOS!H:H,USOS!G:G)</f>
        <v>3</v>
      </c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</row>
    <row r="20" ht="27.75" hidden="1" customHeight="1">
      <c r="A20" s="37" t="s">
        <v>39</v>
      </c>
      <c r="B20" s="37">
        <v>3.0</v>
      </c>
      <c r="C20" s="37" t="s">
        <v>255</v>
      </c>
      <c r="D20" s="37" t="s">
        <v>251</v>
      </c>
      <c r="E20" s="37"/>
      <c r="F20" s="37">
        <v>19.0</v>
      </c>
      <c r="G20" s="37">
        <f t="array" ref="G20">XLOOKUP(USO_ZONA!$A20,MACROZONAS!B:B,MACROZONAS!A:A)</f>
        <v>5</v>
      </c>
      <c r="H20" s="37">
        <f t="array" ref="H20">XLOOKUP(USO_ZONA!$C20,USOS!H:H,USOS!G:G)</f>
        <v>3</v>
      </c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</row>
    <row r="21" ht="27.75" hidden="1" customHeight="1">
      <c r="A21" s="39" t="s">
        <v>29</v>
      </c>
      <c r="B21" s="39">
        <v>3.0</v>
      </c>
      <c r="C21" s="39" t="s">
        <v>255</v>
      </c>
      <c r="D21" s="39" t="s">
        <v>251</v>
      </c>
      <c r="E21" s="39"/>
      <c r="F21" s="39">
        <v>20.0</v>
      </c>
      <c r="G21" s="39">
        <f t="array" ref="G21">XLOOKUP(USO_ZONA!$A21,MACROZONAS!B:B,MACROZONAS!A:A)</f>
        <v>6</v>
      </c>
      <c r="H21" s="39">
        <f t="array" ref="H21">XLOOKUP(USO_ZONA!$C21,USOS!H:H,USOS!G:G)</f>
        <v>3</v>
      </c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</row>
    <row r="22" ht="27.75" hidden="1" customHeight="1">
      <c r="A22" s="37" t="s">
        <v>43</v>
      </c>
      <c r="B22" s="37">
        <v>3.0</v>
      </c>
      <c r="C22" s="37" t="s">
        <v>255</v>
      </c>
      <c r="D22" s="37" t="s">
        <v>252</v>
      </c>
      <c r="E22" s="38" t="s">
        <v>258</v>
      </c>
      <c r="F22" s="37">
        <v>21.0</v>
      </c>
      <c r="G22" s="37">
        <f t="array" ref="G22">XLOOKUP(USO_ZONA!$A22,MACROZONAS!B:B,MACROZONAS!A:A)</f>
        <v>7</v>
      </c>
      <c r="H22" s="37">
        <f t="array" ref="H22">XLOOKUP(USO_ZONA!$C22,USOS!H:H,USOS!G:G)</f>
        <v>3</v>
      </c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</row>
    <row r="23" ht="27.75" hidden="1" customHeight="1">
      <c r="A23" s="39" t="s">
        <v>33</v>
      </c>
      <c r="B23" s="39">
        <v>4.0</v>
      </c>
      <c r="C23" s="39" t="s">
        <v>259</v>
      </c>
      <c r="D23" s="39" t="s">
        <v>248</v>
      </c>
      <c r="E23" s="40" t="s">
        <v>260</v>
      </c>
      <c r="F23" s="39">
        <v>22.0</v>
      </c>
      <c r="G23" s="39">
        <f t="array" ref="G23">XLOOKUP(USO_ZONA!$A23,MACROZONAS!B:B,MACROZONAS!A:A)</f>
        <v>1</v>
      </c>
      <c r="H23" s="39">
        <f t="array" ref="H23">XLOOKUP(USO_ZONA!$C23,USOS!H:H,USOS!G:G)</f>
        <v>4</v>
      </c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</row>
    <row r="24" ht="27.75" hidden="1" customHeight="1">
      <c r="A24" s="37" t="s">
        <v>28</v>
      </c>
      <c r="B24" s="37">
        <v>4.0</v>
      </c>
      <c r="C24" s="37" t="s">
        <v>259</v>
      </c>
      <c r="D24" s="37" t="s">
        <v>248</v>
      </c>
      <c r="E24" s="38" t="s">
        <v>260</v>
      </c>
      <c r="F24" s="37">
        <v>23.0</v>
      </c>
      <c r="G24" s="37">
        <f t="array" ref="G24">XLOOKUP(USO_ZONA!$A24,MACROZONAS!B:B,MACROZONAS!A:A)</f>
        <v>2</v>
      </c>
      <c r="H24" s="37">
        <f t="array" ref="H24">XLOOKUP(USO_ZONA!$C24,USOS!H:H,USOS!G:G)</f>
        <v>4</v>
      </c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</row>
    <row r="25" ht="27.75" hidden="1" customHeight="1">
      <c r="A25" s="39" t="s">
        <v>42</v>
      </c>
      <c r="B25" s="39">
        <v>4.0</v>
      </c>
      <c r="C25" s="39" t="s">
        <v>259</v>
      </c>
      <c r="D25" s="39" t="s">
        <v>248</v>
      </c>
      <c r="E25" s="40" t="s">
        <v>260</v>
      </c>
      <c r="F25" s="39">
        <v>24.0</v>
      </c>
      <c r="G25" s="39">
        <f t="array" ref="G25">XLOOKUP(USO_ZONA!$A25,MACROZONAS!B:B,MACROZONAS!A:A)</f>
        <v>3</v>
      </c>
      <c r="H25" s="39">
        <f t="array" ref="H25">XLOOKUP(USO_ZONA!$C25,USOS!H:H,USOS!G:G)</f>
        <v>4</v>
      </c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</row>
    <row r="26" ht="27.75" hidden="1" customHeight="1">
      <c r="A26" s="37" t="s">
        <v>18</v>
      </c>
      <c r="B26" s="37">
        <v>4.0</v>
      </c>
      <c r="C26" s="37" t="s">
        <v>259</v>
      </c>
      <c r="D26" s="37" t="s">
        <v>248</v>
      </c>
      <c r="E26" s="38" t="s">
        <v>260</v>
      </c>
      <c r="F26" s="37">
        <v>25.0</v>
      </c>
      <c r="G26" s="37">
        <f t="array" ref="G26">XLOOKUP(USO_ZONA!$A26,MACROZONAS!B:B,MACROZONAS!A:A)</f>
        <v>4</v>
      </c>
      <c r="H26" s="37">
        <f t="array" ref="H26">XLOOKUP(USO_ZONA!$C26,USOS!H:H,USOS!G:G)</f>
        <v>4</v>
      </c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</row>
    <row r="27" ht="27.75" hidden="1" customHeight="1">
      <c r="A27" s="39" t="s">
        <v>39</v>
      </c>
      <c r="B27" s="39">
        <v>4.0</v>
      </c>
      <c r="C27" s="39" t="s">
        <v>259</v>
      </c>
      <c r="D27" s="39" t="s">
        <v>251</v>
      </c>
      <c r="E27" s="39"/>
      <c r="F27" s="39">
        <v>26.0</v>
      </c>
      <c r="G27" s="39">
        <f t="array" ref="G27">XLOOKUP(USO_ZONA!$A27,MACROZONAS!B:B,MACROZONAS!A:A)</f>
        <v>5</v>
      </c>
      <c r="H27" s="39">
        <f t="array" ref="H27">XLOOKUP(USO_ZONA!$C27,USOS!H:H,USOS!G:G)</f>
        <v>4</v>
      </c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</row>
    <row r="28" ht="27.75" hidden="1" customHeight="1">
      <c r="A28" s="37" t="s">
        <v>29</v>
      </c>
      <c r="B28" s="37">
        <v>4.0</v>
      </c>
      <c r="C28" s="37" t="s">
        <v>259</v>
      </c>
      <c r="D28" s="37" t="s">
        <v>251</v>
      </c>
      <c r="E28" s="37"/>
      <c r="F28" s="37">
        <v>27.0</v>
      </c>
      <c r="G28" s="37">
        <f t="array" ref="G28">XLOOKUP(USO_ZONA!$A28,MACROZONAS!B:B,MACROZONAS!A:A)</f>
        <v>6</v>
      </c>
      <c r="H28" s="37">
        <f t="array" ref="H28">XLOOKUP(USO_ZONA!$C28,USOS!H:H,USOS!G:G)</f>
        <v>4</v>
      </c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</row>
    <row r="29" ht="27.75" hidden="1" customHeight="1">
      <c r="A29" s="39" t="s">
        <v>43</v>
      </c>
      <c r="B29" s="39">
        <v>4.0</v>
      </c>
      <c r="C29" s="39" t="s">
        <v>259</v>
      </c>
      <c r="D29" s="39" t="s">
        <v>252</v>
      </c>
      <c r="E29" s="40" t="s">
        <v>261</v>
      </c>
      <c r="F29" s="39">
        <v>28.0</v>
      </c>
      <c r="G29" s="39">
        <f t="array" ref="G29">XLOOKUP(USO_ZONA!$A29,MACROZONAS!B:B,MACROZONAS!A:A)</f>
        <v>7</v>
      </c>
      <c r="H29" s="39">
        <f t="array" ref="H29">XLOOKUP(USO_ZONA!$C29,USOS!H:H,USOS!G:G)</f>
        <v>4</v>
      </c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</row>
    <row r="30" ht="27.75" customHeight="1">
      <c r="A30" s="37" t="s">
        <v>33</v>
      </c>
      <c r="B30" s="37">
        <v>5.0</v>
      </c>
      <c r="C30" s="37" t="s">
        <v>262</v>
      </c>
      <c r="D30" s="37" t="s">
        <v>248</v>
      </c>
      <c r="E30" s="38" t="s">
        <v>263</v>
      </c>
      <c r="F30" s="37">
        <v>29.0</v>
      </c>
      <c r="G30" s="37">
        <f t="array" ref="G30">XLOOKUP(USO_ZONA!$A30,MACROZONAS!B:B,MACROZONAS!A:A)</f>
        <v>1</v>
      </c>
      <c r="H30" s="37">
        <f t="array" ref="H30">XLOOKUP(USO_ZONA!$C30,USOS!H:H,USOS!G:G)</f>
        <v>5</v>
      </c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</row>
    <row r="31" ht="27.75" customHeight="1">
      <c r="A31" s="39" t="s">
        <v>28</v>
      </c>
      <c r="B31" s="39">
        <v>5.0</v>
      </c>
      <c r="C31" s="39" t="s">
        <v>262</v>
      </c>
      <c r="D31" s="39" t="s">
        <v>248</v>
      </c>
      <c r="E31" s="40" t="s">
        <v>263</v>
      </c>
      <c r="F31" s="39">
        <v>30.0</v>
      </c>
      <c r="G31" s="39">
        <f t="array" ref="G31">XLOOKUP(USO_ZONA!$A31,MACROZONAS!B:B,MACROZONAS!A:A)</f>
        <v>2</v>
      </c>
      <c r="H31" s="39">
        <f t="array" ref="H31">XLOOKUP(USO_ZONA!$C31,USOS!H:H,USOS!G:G)</f>
        <v>5</v>
      </c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</row>
    <row r="32" ht="27.75" customHeight="1">
      <c r="A32" s="37" t="s">
        <v>42</v>
      </c>
      <c r="B32" s="37">
        <v>5.0</v>
      </c>
      <c r="C32" s="37" t="s">
        <v>262</v>
      </c>
      <c r="D32" s="37" t="s">
        <v>248</v>
      </c>
      <c r="E32" s="38" t="s">
        <v>263</v>
      </c>
      <c r="F32" s="37">
        <v>31.0</v>
      </c>
      <c r="G32" s="37">
        <f t="array" ref="G32">XLOOKUP(USO_ZONA!$A32,MACROZONAS!B:B,MACROZONAS!A:A)</f>
        <v>3</v>
      </c>
      <c r="H32" s="37">
        <f t="array" ref="H32">XLOOKUP(USO_ZONA!$C32,USOS!H:H,USOS!G:G)</f>
        <v>5</v>
      </c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</row>
    <row r="33" ht="27.75" customHeight="1">
      <c r="A33" s="39" t="s">
        <v>18</v>
      </c>
      <c r="B33" s="39">
        <v>5.0</v>
      </c>
      <c r="C33" s="39" t="s">
        <v>262</v>
      </c>
      <c r="D33" s="39" t="s">
        <v>248</v>
      </c>
      <c r="E33" s="40" t="s">
        <v>263</v>
      </c>
      <c r="F33" s="39">
        <v>32.0</v>
      </c>
      <c r="G33" s="39">
        <f t="array" ref="G33">XLOOKUP(USO_ZONA!$A33,MACROZONAS!B:B,MACROZONAS!A:A)</f>
        <v>4</v>
      </c>
      <c r="H33" s="39">
        <f t="array" ref="H33">XLOOKUP(USO_ZONA!$C33,USOS!H:H,USOS!G:G)</f>
        <v>5</v>
      </c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</row>
    <row r="34" ht="27.75" hidden="1" customHeight="1">
      <c r="A34" s="37" t="s">
        <v>39</v>
      </c>
      <c r="B34" s="37">
        <v>5.0</v>
      </c>
      <c r="C34" s="37" t="s">
        <v>262</v>
      </c>
      <c r="D34" s="37" t="s">
        <v>251</v>
      </c>
      <c r="E34" s="37"/>
      <c r="F34" s="37">
        <v>33.0</v>
      </c>
      <c r="G34" s="37">
        <f t="array" ref="G34">XLOOKUP(USO_ZONA!$A34,MACROZONAS!B:B,MACROZONAS!A:A)</f>
        <v>5</v>
      </c>
      <c r="H34" s="37">
        <f t="array" ref="H34">XLOOKUP(USO_ZONA!$C34,USOS!H:H,USOS!G:G)</f>
        <v>5</v>
      </c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</row>
    <row r="35" ht="27.75" hidden="1" customHeight="1">
      <c r="A35" s="39" t="s">
        <v>29</v>
      </c>
      <c r="B35" s="39">
        <v>5.0</v>
      </c>
      <c r="C35" s="39" t="s">
        <v>262</v>
      </c>
      <c r="D35" s="39" t="s">
        <v>251</v>
      </c>
      <c r="E35" s="39"/>
      <c r="F35" s="39">
        <v>34.0</v>
      </c>
      <c r="G35" s="39">
        <f t="array" ref="G35">XLOOKUP(USO_ZONA!$A35,MACROZONAS!B:B,MACROZONAS!A:A)</f>
        <v>6</v>
      </c>
      <c r="H35" s="39">
        <f t="array" ref="H35">XLOOKUP(USO_ZONA!$C35,USOS!H:H,USOS!G:G)</f>
        <v>5</v>
      </c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</row>
    <row r="36" ht="27.75" hidden="1" customHeight="1">
      <c r="A36" s="37" t="s">
        <v>43</v>
      </c>
      <c r="B36" s="37">
        <v>5.0</v>
      </c>
      <c r="C36" s="37" t="s">
        <v>262</v>
      </c>
      <c r="D36" s="37" t="s">
        <v>252</v>
      </c>
      <c r="E36" s="38" t="s">
        <v>261</v>
      </c>
      <c r="F36" s="37">
        <v>35.0</v>
      </c>
      <c r="G36" s="37">
        <f t="array" ref="G36">XLOOKUP(USO_ZONA!$A36,MACROZONAS!B:B,MACROZONAS!A:A)</f>
        <v>7</v>
      </c>
      <c r="H36" s="37">
        <f t="array" ref="H36">XLOOKUP(USO_ZONA!$C36,USOS!H:H,USOS!G:G)</f>
        <v>5</v>
      </c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</row>
    <row r="37" ht="27.75" hidden="1" customHeight="1">
      <c r="A37" s="39" t="s">
        <v>33</v>
      </c>
      <c r="B37" s="39">
        <v>6.0</v>
      </c>
      <c r="C37" s="39" t="s">
        <v>264</v>
      </c>
      <c r="D37" s="39" t="s">
        <v>248</v>
      </c>
      <c r="E37" s="40" t="s">
        <v>265</v>
      </c>
      <c r="F37" s="39">
        <v>36.0</v>
      </c>
      <c r="G37" s="39">
        <f t="array" ref="G37">XLOOKUP(USO_ZONA!$A37,MACROZONAS!B:B,MACROZONAS!A:A)</f>
        <v>1</v>
      </c>
      <c r="H37" s="39">
        <f t="array" ref="H37">XLOOKUP(USO_ZONA!$C37,USOS!H:H,USOS!G:G)</f>
        <v>6</v>
      </c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</row>
    <row r="38" ht="27.75" hidden="1" customHeight="1">
      <c r="A38" s="37" t="s">
        <v>28</v>
      </c>
      <c r="B38" s="37">
        <v>6.0</v>
      </c>
      <c r="C38" s="37" t="s">
        <v>264</v>
      </c>
      <c r="D38" s="37" t="s">
        <v>248</v>
      </c>
      <c r="E38" s="38" t="s">
        <v>265</v>
      </c>
      <c r="F38" s="37">
        <v>37.0</v>
      </c>
      <c r="G38" s="37">
        <f t="array" ref="G38">XLOOKUP(USO_ZONA!$A38,MACROZONAS!B:B,MACROZONAS!A:A)</f>
        <v>2</v>
      </c>
      <c r="H38" s="37">
        <f t="array" ref="H38">XLOOKUP(USO_ZONA!$C38,USOS!H:H,USOS!G:G)</f>
        <v>6</v>
      </c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</row>
    <row r="39" ht="27.75" hidden="1" customHeight="1">
      <c r="A39" s="39" t="s">
        <v>42</v>
      </c>
      <c r="B39" s="39">
        <v>6.0</v>
      </c>
      <c r="C39" s="39" t="s">
        <v>264</v>
      </c>
      <c r="D39" s="39" t="s">
        <v>248</v>
      </c>
      <c r="E39" s="40" t="s">
        <v>265</v>
      </c>
      <c r="F39" s="39">
        <v>38.0</v>
      </c>
      <c r="G39" s="39">
        <f t="array" ref="G39">XLOOKUP(USO_ZONA!$A39,MACROZONAS!B:B,MACROZONAS!A:A)</f>
        <v>3</v>
      </c>
      <c r="H39" s="39">
        <f t="array" ref="H39">XLOOKUP(USO_ZONA!$C39,USOS!H:H,USOS!G:G)</f>
        <v>6</v>
      </c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</row>
    <row r="40" ht="27.75" hidden="1" customHeight="1">
      <c r="A40" s="37" t="s">
        <v>18</v>
      </c>
      <c r="B40" s="37">
        <v>6.0</v>
      </c>
      <c r="C40" s="37" t="s">
        <v>264</v>
      </c>
      <c r="D40" s="37" t="s">
        <v>252</v>
      </c>
      <c r="E40" s="38" t="s">
        <v>257</v>
      </c>
      <c r="F40" s="37">
        <v>39.0</v>
      </c>
      <c r="G40" s="37">
        <f t="array" ref="G40">XLOOKUP(USO_ZONA!$A40,MACROZONAS!B:B,MACROZONAS!A:A)</f>
        <v>4</v>
      </c>
      <c r="H40" s="37">
        <f t="array" ref="H40">XLOOKUP(USO_ZONA!$C40,USOS!H:H,USOS!G:G)</f>
        <v>6</v>
      </c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</row>
    <row r="41" ht="27.75" hidden="1" customHeight="1">
      <c r="A41" s="39" t="s">
        <v>39</v>
      </c>
      <c r="B41" s="39">
        <v>6.0</v>
      </c>
      <c r="C41" s="39" t="s">
        <v>264</v>
      </c>
      <c r="D41" s="39" t="s">
        <v>251</v>
      </c>
      <c r="E41" s="39"/>
      <c r="F41" s="39">
        <v>40.0</v>
      </c>
      <c r="G41" s="39">
        <f t="array" ref="G41">XLOOKUP(USO_ZONA!$A41,MACROZONAS!B:B,MACROZONAS!A:A)</f>
        <v>5</v>
      </c>
      <c r="H41" s="39">
        <f t="array" ref="H41">XLOOKUP(USO_ZONA!$C41,USOS!H:H,USOS!G:G)</f>
        <v>6</v>
      </c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</row>
    <row r="42" ht="27.75" hidden="1" customHeight="1">
      <c r="A42" s="37" t="s">
        <v>29</v>
      </c>
      <c r="B42" s="37">
        <v>6.0</v>
      </c>
      <c r="C42" s="37" t="s">
        <v>264</v>
      </c>
      <c r="D42" s="37" t="s">
        <v>251</v>
      </c>
      <c r="E42" s="37"/>
      <c r="F42" s="37">
        <v>41.0</v>
      </c>
      <c r="G42" s="37">
        <f t="array" ref="G42">XLOOKUP(USO_ZONA!$A42,MACROZONAS!B:B,MACROZONAS!A:A)</f>
        <v>6</v>
      </c>
      <c r="H42" s="37">
        <f t="array" ref="H42">XLOOKUP(USO_ZONA!$C42,USOS!H:H,USOS!G:G)</f>
        <v>6</v>
      </c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</row>
    <row r="43" ht="27.75" hidden="1" customHeight="1">
      <c r="A43" s="39" t="s">
        <v>43</v>
      </c>
      <c r="B43" s="39">
        <v>6.0</v>
      </c>
      <c r="C43" s="39" t="s">
        <v>264</v>
      </c>
      <c r="D43" s="39" t="s">
        <v>252</v>
      </c>
      <c r="E43" s="40" t="s">
        <v>266</v>
      </c>
      <c r="F43" s="39">
        <v>42.0</v>
      </c>
      <c r="G43" s="39">
        <f t="array" ref="G43">XLOOKUP(USO_ZONA!$A43,MACROZONAS!B:B,MACROZONAS!A:A)</f>
        <v>7</v>
      </c>
      <c r="H43" s="39">
        <f t="array" ref="H43">XLOOKUP(USO_ZONA!$C43,USOS!H:H,USOS!G:G)</f>
        <v>6</v>
      </c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</row>
    <row r="44" ht="27.75" hidden="1" customHeight="1">
      <c r="A44" s="37" t="s">
        <v>33</v>
      </c>
      <c r="B44" s="37">
        <v>7.0</v>
      </c>
      <c r="C44" s="37" t="s">
        <v>267</v>
      </c>
      <c r="D44" s="37" t="s">
        <v>248</v>
      </c>
      <c r="E44" s="38" t="s">
        <v>268</v>
      </c>
      <c r="F44" s="37">
        <v>43.0</v>
      </c>
      <c r="G44" s="37">
        <f t="array" ref="G44">XLOOKUP(USO_ZONA!$A44,MACROZONAS!B:B,MACROZONAS!A:A)</f>
        <v>1</v>
      </c>
      <c r="H44" s="37">
        <f t="array" ref="H44">XLOOKUP(USO_ZONA!$C44,USOS!H:H,USOS!G:G)</f>
        <v>7</v>
      </c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</row>
    <row r="45" ht="27.75" hidden="1" customHeight="1">
      <c r="A45" s="39" t="s">
        <v>28</v>
      </c>
      <c r="B45" s="39">
        <v>7.0</v>
      </c>
      <c r="C45" s="39" t="s">
        <v>267</v>
      </c>
      <c r="D45" s="39" t="s">
        <v>248</v>
      </c>
      <c r="E45" s="40" t="s">
        <v>268</v>
      </c>
      <c r="F45" s="39">
        <v>44.0</v>
      </c>
      <c r="G45" s="39">
        <f t="array" ref="G45">XLOOKUP(USO_ZONA!$A45,MACROZONAS!B:B,MACROZONAS!A:A)</f>
        <v>2</v>
      </c>
      <c r="H45" s="39">
        <f t="array" ref="H45">XLOOKUP(USO_ZONA!$C45,USOS!H:H,USOS!G:G)</f>
        <v>7</v>
      </c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</row>
    <row r="46" ht="27.75" hidden="1" customHeight="1">
      <c r="A46" s="37" t="s">
        <v>42</v>
      </c>
      <c r="B46" s="37">
        <v>7.0</v>
      </c>
      <c r="C46" s="37" t="s">
        <v>267</v>
      </c>
      <c r="D46" s="37" t="s">
        <v>248</v>
      </c>
      <c r="E46" s="38" t="s">
        <v>268</v>
      </c>
      <c r="F46" s="37">
        <v>45.0</v>
      </c>
      <c r="G46" s="37">
        <f t="array" ref="G46">XLOOKUP(USO_ZONA!$A46,MACROZONAS!B:B,MACROZONAS!A:A)</f>
        <v>3</v>
      </c>
      <c r="H46" s="37">
        <f t="array" ref="H46">XLOOKUP(USO_ZONA!$C46,USOS!H:H,USOS!G:G)</f>
        <v>7</v>
      </c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</row>
    <row r="47" ht="27.75" hidden="1" customHeight="1">
      <c r="A47" s="39" t="s">
        <v>18</v>
      </c>
      <c r="B47" s="39">
        <v>7.0</v>
      </c>
      <c r="C47" s="39" t="s">
        <v>267</v>
      </c>
      <c r="D47" s="39" t="s">
        <v>252</v>
      </c>
      <c r="E47" s="40" t="s">
        <v>257</v>
      </c>
      <c r="F47" s="39">
        <v>46.0</v>
      </c>
      <c r="G47" s="39">
        <f t="array" ref="G47">XLOOKUP(USO_ZONA!$A47,MACROZONAS!B:B,MACROZONAS!A:A)</f>
        <v>4</v>
      </c>
      <c r="H47" s="39">
        <f t="array" ref="H47">XLOOKUP(USO_ZONA!$C47,USOS!H:H,USOS!G:G)</f>
        <v>7</v>
      </c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</row>
    <row r="48" ht="27.75" hidden="1" customHeight="1">
      <c r="A48" s="37" t="s">
        <v>39</v>
      </c>
      <c r="B48" s="37">
        <v>7.0</v>
      </c>
      <c r="C48" s="37" t="s">
        <v>267</v>
      </c>
      <c r="D48" s="37" t="s">
        <v>251</v>
      </c>
      <c r="E48" s="37"/>
      <c r="F48" s="37">
        <v>47.0</v>
      </c>
      <c r="G48" s="37">
        <f t="array" ref="G48">XLOOKUP(USO_ZONA!$A48,MACROZONAS!B:B,MACROZONAS!A:A)</f>
        <v>5</v>
      </c>
      <c r="H48" s="37">
        <f t="array" ref="H48">XLOOKUP(USO_ZONA!$C48,USOS!H:H,USOS!G:G)</f>
        <v>7</v>
      </c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</row>
    <row r="49" ht="27.75" hidden="1" customHeight="1">
      <c r="A49" s="39" t="s">
        <v>29</v>
      </c>
      <c r="B49" s="39">
        <v>7.0</v>
      </c>
      <c r="C49" s="39" t="s">
        <v>267</v>
      </c>
      <c r="D49" s="39" t="s">
        <v>251</v>
      </c>
      <c r="E49" s="39"/>
      <c r="F49" s="39">
        <v>48.0</v>
      </c>
      <c r="G49" s="39">
        <f t="array" ref="G49">XLOOKUP(USO_ZONA!$A49,MACROZONAS!B:B,MACROZONAS!A:A)</f>
        <v>6</v>
      </c>
      <c r="H49" s="39">
        <f t="array" ref="H49">XLOOKUP(USO_ZONA!$C49,USOS!H:H,USOS!G:G)</f>
        <v>7</v>
      </c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</row>
    <row r="50" ht="27.75" hidden="1" customHeight="1">
      <c r="A50" s="37" t="s">
        <v>43</v>
      </c>
      <c r="B50" s="37">
        <v>7.0</v>
      </c>
      <c r="C50" s="37" t="s">
        <v>267</v>
      </c>
      <c r="D50" s="37" t="s">
        <v>252</v>
      </c>
      <c r="E50" s="38" t="s">
        <v>266</v>
      </c>
      <c r="F50" s="37">
        <v>49.0</v>
      </c>
      <c r="G50" s="37">
        <f t="array" ref="G50">XLOOKUP(USO_ZONA!$A50,MACROZONAS!B:B,MACROZONAS!A:A)</f>
        <v>7</v>
      </c>
      <c r="H50" s="37">
        <f t="array" ref="H50">XLOOKUP(USO_ZONA!$C50,USOS!H:H,USOS!G:G)</f>
        <v>7</v>
      </c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</row>
    <row r="51" ht="27.75" customHeight="1">
      <c r="A51" s="39" t="s">
        <v>33</v>
      </c>
      <c r="B51" s="39">
        <v>8.0</v>
      </c>
      <c r="C51" s="39" t="s">
        <v>269</v>
      </c>
      <c r="D51" s="39" t="s">
        <v>248</v>
      </c>
      <c r="E51" s="40" t="s">
        <v>268</v>
      </c>
      <c r="F51" s="39">
        <v>50.0</v>
      </c>
      <c r="G51" s="39">
        <f t="array" ref="G51">XLOOKUP(USO_ZONA!$A51,MACROZONAS!B:B,MACROZONAS!A:A)</f>
        <v>1</v>
      </c>
      <c r="H51" s="39">
        <f t="array" ref="H51">XLOOKUP(USO_ZONA!$C51,USOS!H:H,USOS!G:G)</f>
        <v>8</v>
      </c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</row>
    <row r="52" ht="27.75" customHeight="1">
      <c r="A52" s="37" t="s">
        <v>28</v>
      </c>
      <c r="B52" s="37">
        <v>8.0</v>
      </c>
      <c r="C52" s="37" t="s">
        <v>269</v>
      </c>
      <c r="D52" s="37" t="s">
        <v>248</v>
      </c>
      <c r="E52" s="38" t="s">
        <v>268</v>
      </c>
      <c r="F52" s="37">
        <v>51.0</v>
      </c>
      <c r="G52" s="37">
        <f t="array" ref="G52">XLOOKUP(USO_ZONA!$A52,MACROZONAS!B:B,MACROZONAS!A:A)</f>
        <v>2</v>
      </c>
      <c r="H52" s="37">
        <f t="array" ref="H52">XLOOKUP(USO_ZONA!$C52,USOS!H:H,USOS!G:G)</f>
        <v>8</v>
      </c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</row>
    <row r="53" ht="27.75" customHeight="1">
      <c r="A53" s="39" t="s">
        <v>42</v>
      </c>
      <c r="B53" s="39">
        <v>8.0</v>
      </c>
      <c r="C53" s="39" t="s">
        <v>269</v>
      </c>
      <c r="D53" s="39" t="s">
        <v>248</v>
      </c>
      <c r="E53" s="40" t="s">
        <v>268</v>
      </c>
      <c r="F53" s="39">
        <v>52.0</v>
      </c>
      <c r="G53" s="39">
        <f t="array" ref="G53">XLOOKUP(USO_ZONA!$A53,MACROZONAS!B:B,MACROZONAS!A:A)</f>
        <v>3</v>
      </c>
      <c r="H53" s="39">
        <f t="array" ref="H53">XLOOKUP(USO_ZONA!$C53,USOS!H:H,USOS!G:G)</f>
        <v>8</v>
      </c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</row>
    <row r="54" ht="27.75" hidden="1" customHeight="1">
      <c r="A54" s="37" t="s">
        <v>18</v>
      </c>
      <c r="B54" s="37">
        <v>8.0</v>
      </c>
      <c r="C54" s="37" t="s">
        <v>269</v>
      </c>
      <c r="D54" s="37" t="s">
        <v>252</v>
      </c>
      <c r="E54" s="38" t="s">
        <v>257</v>
      </c>
      <c r="F54" s="37">
        <v>53.0</v>
      </c>
      <c r="G54" s="37">
        <f t="array" ref="G54">XLOOKUP(USO_ZONA!$A54,MACROZONAS!B:B,MACROZONAS!A:A)</f>
        <v>4</v>
      </c>
      <c r="H54" s="37">
        <f t="array" ref="H54">XLOOKUP(USO_ZONA!$C54,USOS!H:H,USOS!G:G)</f>
        <v>8</v>
      </c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</row>
    <row r="55" ht="27.75" hidden="1" customHeight="1">
      <c r="A55" s="39" t="s">
        <v>39</v>
      </c>
      <c r="B55" s="39">
        <v>8.0</v>
      </c>
      <c r="C55" s="39" t="s">
        <v>269</v>
      </c>
      <c r="D55" s="39" t="s">
        <v>251</v>
      </c>
      <c r="E55" s="39"/>
      <c r="F55" s="39">
        <v>54.0</v>
      </c>
      <c r="G55" s="39">
        <f t="array" ref="G55">XLOOKUP(USO_ZONA!$A55,MACROZONAS!B:B,MACROZONAS!A:A)</f>
        <v>5</v>
      </c>
      <c r="H55" s="39">
        <f t="array" ref="H55">XLOOKUP(USO_ZONA!$C55,USOS!H:H,USOS!G:G)</f>
        <v>8</v>
      </c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</row>
    <row r="56" ht="27.75" hidden="1" customHeight="1">
      <c r="A56" s="37" t="s">
        <v>29</v>
      </c>
      <c r="B56" s="37">
        <v>8.0</v>
      </c>
      <c r="C56" s="37" t="s">
        <v>269</v>
      </c>
      <c r="D56" s="37" t="s">
        <v>251</v>
      </c>
      <c r="E56" s="37"/>
      <c r="F56" s="37">
        <v>55.0</v>
      </c>
      <c r="G56" s="37">
        <f t="array" ref="G56">XLOOKUP(USO_ZONA!$A56,MACROZONAS!B:B,MACROZONAS!A:A)</f>
        <v>6</v>
      </c>
      <c r="H56" s="37">
        <f t="array" ref="H56">XLOOKUP(USO_ZONA!$C56,USOS!H:H,USOS!G:G)</f>
        <v>8</v>
      </c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</row>
    <row r="57" ht="27.75" hidden="1" customHeight="1">
      <c r="A57" s="39" t="s">
        <v>43</v>
      </c>
      <c r="B57" s="39">
        <v>8.0</v>
      </c>
      <c r="C57" s="39" t="s">
        <v>269</v>
      </c>
      <c r="D57" s="39" t="s">
        <v>252</v>
      </c>
      <c r="E57" s="40" t="s">
        <v>266</v>
      </c>
      <c r="F57" s="39">
        <v>56.0</v>
      </c>
      <c r="G57" s="39">
        <f t="array" ref="G57">XLOOKUP(USO_ZONA!$A57,MACROZONAS!B:B,MACROZONAS!A:A)</f>
        <v>7</v>
      </c>
      <c r="H57" s="39">
        <f t="array" ref="H57">XLOOKUP(USO_ZONA!$C57,USOS!H:H,USOS!G:G)</f>
        <v>8</v>
      </c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</row>
    <row r="58" ht="27.75" hidden="1" customHeight="1">
      <c r="A58" s="37" t="s">
        <v>33</v>
      </c>
      <c r="B58" s="37">
        <v>9.0</v>
      </c>
      <c r="C58" s="37" t="s">
        <v>270</v>
      </c>
      <c r="D58" s="37" t="s">
        <v>248</v>
      </c>
      <c r="E58" s="38" t="s">
        <v>271</v>
      </c>
      <c r="F58" s="37">
        <v>57.0</v>
      </c>
      <c r="G58" s="37">
        <f t="array" ref="G58">XLOOKUP(USO_ZONA!$A58,MACROZONAS!B:B,MACROZONAS!A:A)</f>
        <v>1</v>
      </c>
      <c r="H58" s="37">
        <f t="array" ref="H58">XLOOKUP(USO_ZONA!$C58,USOS!H:H,USOS!G:G)</f>
        <v>9</v>
      </c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</row>
    <row r="59" ht="27.75" hidden="1" customHeight="1">
      <c r="A59" s="39" t="s">
        <v>28</v>
      </c>
      <c r="B59" s="39">
        <v>9.0</v>
      </c>
      <c r="C59" s="39" t="s">
        <v>270</v>
      </c>
      <c r="D59" s="39" t="s">
        <v>248</v>
      </c>
      <c r="E59" s="40" t="s">
        <v>271</v>
      </c>
      <c r="F59" s="39">
        <v>58.0</v>
      </c>
      <c r="G59" s="39">
        <f t="array" ref="G59">XLOOKUP(USO_ZONA!$A59,MACROZONAS!B:B,MACROZONAS!A:A)</f>
        <v>2</v>
      </c>
      <c r="H59" s="39">
        <f t="array" ref="H59">XLOOKUP(USO_ZONA!$C59,USOS!H:H,USOS!G:G)</f>
        <v>9</v>
      </c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</row>
    <row r="60" ht="27.75" hidden="1" customHeight="1">
      <c r="A60" s="37" t="s">
        <v>42</v>
      </c>
      <c r="B60" s="37">
        <v>9.0</v>
      </c>
      <c r="C60" s="37" t="s">
        <v>270</v>
      </c>
      <c r="D60" s="37" t="s">
        <v>248</v>
      </c>
      <c r="E60" s="38" t="s">
        <v>271</v>
      </c>
      <c r="F60" s="37">
        <v>59.0</v>
      </c>
      <c r="G60" s="37">
        <f t="array" ref="G60">XLOOKUP(USO_ZONA!$A60,MACROZONAS!B:B,MACROZONAS!A:A)</f>
        <v>3</v>
      </c>
      <c r="H60" s="37">
        <f t="array" ref="H60">XLOOKUP(USO_ZONA!$C60,USOS!H:H,USOS!G:G)</f>
        <v>9</v>
      </c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</row>
    <row r="61" ht="27.75" hidden="1" customHeight="1">
      <c r="A61" s="39" t="s">
        <v>18</v>
      </c>
      <c r="B61" s="39">
        <v>9.0</v>
      </c>
      <c r="C61" s="39" t="s">
        <v>270</v>
      </c>
      <c r="D61" s="39" t="s">
        <v>252</v>
      </c>
      <c r="E61" s="40" t="s">
        <v>272</v>
      </c>
      <c r="F61" s="39">
        <v>60.0</v>
      </c>
      <c r="G61" s="39">
        <f t="array" ref="G61">XLOOKUP(USO_ZONA!$A61,MACROZONAS!B:B,MACROZONAS!A:A)</f>
        <v>4</v>
      </c>
      <c r="H61" s="39">
        <f t="array" ref="H61">XLOOKUP(USO_ZONA!$C61,USOS!H:H,USOS!G:G)</f>
        <v>9</v>
      </c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</row>
    <row r="62" ht="27.75" hidden="1" customHeight="1">
      <c r="A62" s="37" t="s">
        <v>39</v>
      </c>
      <c r="B62" s="37">
        <v>9.0</v>
      </c>
      <c r="C62" s="37" t="s">
        <v>270</v>
      </c>
      <c r="D62" s="37" t="s">
        <v>251</v>
      </c>
      <c r="E62" s="37"/>
      <c r="F62" s="37">
        <v>61.0</v>
      </c>
      <c r="G62" s="37">
        <f t="array" ref="G62">XLOOKUP(USO_ZONA!$A62,MACROZONAS!B:B,MACROZONAS!A:A)</f>
        <v>5</v>
      </c>
      <c r="H62" s="37">
        <f t="array" ref="H62">XLOOKUP(USO_ZONA!$C62,USOS!H:H,USOS!G:G)</f>
        <v>9</v>
      </c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</row>
    <row r="63" ht="27.75" hidden="1" customHeight="1">
      <c r="A63" s="39" t="s">
        <v>29</v>
      </c>
      <c r="B63" s="39">
        <v>9.0</v>
      </c>
      <c r="C63" s="39" t="s">
        <v>270</v>
      </c>
      <c r="D63" s="39" t="s">
        <v>251</v>
      </c>
      <c r="E63" s="39"/>
      <c r="F63" s="39">
        <v>62.0</v>
      </c>
      <c r="G63" s="39">
        <f t="array" ref="G63">XLOOKUP(USO_ZONA!$A63,MACROZONAS!B:B,MACROZONAS!A:A)</f>
        <v>6</v>
      </c>
      <c r="H63" s="39">
        <f t="array" ref="H63">XLOOKUP(USO_ZONA!$C63,USOS!H:H,USOS!G:G)</f>
        <v>9</v>
      </c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</row>
    <row r="64" ht="27.75" hidden="1" customHeight="1">
      <c r="A64" s="37" t="s">
        <v>43</v>
      </c>
      <c r="B64" s="37">
        <v>9.0</v>
      </c>
      <c r="C64" s="37" t="s">
        <v>270</v>
      </c>
      <c r="D64" s="37" t="s">
        <v>252</v>
      </c>
      <c r="E64" s="38" t="s">
        <v>273</v>
      </c>
      <c r="F64" s="37">
        <v>63.0</v>
      </c>
      <c r="G64" s="37">
        <f t="array" ref="G64">XLOOKUP(USO_ZONA!$A64,MACROZONAS!B:B,MACROZONAS!A:A)</f>
        <v>7</v>
      </c>
      <c r="H64" s="37">
        <f t="array" ref="H64">XLOOKUP(USO_ZONA!$C64,USOS!H:H,USOS!G:G)</f>
        <v>9</v>
      </c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</row>
    <row r="65" ht="27.75" hidden="1" customHeight="1">
      <c r="A65" s="39" t="s">
        <v>33</v>
      </c>
      <c r="B65" s="39">
        <v>10.0</v>
      </c>
      <c r="C65" s="39" t="s">
        <v>274</v>
      </c>
      <c r="D65" s="39" t="s">
        <v>248</v>
      </c>
      <c r="E65" s="40" t="s">
        <v>275</v>
      </c>
      <c r="F65" s="39">
        <v>64.0</v>
      </c>
      <c r="G65" s="39">
        <f t="array" ref="G65">XLOOKUP(USO_ZONA!$A65,MACROZONAS!B:B,MACROZONAS!A:A)</f>
        <v>1</v>
      </c>
      <c r="H65" s="39">
        <f t="array" ref="H65">XLOOKUP(USO_ZONA!$C65,USOS!H:H,USOS!G:G)</f>
        <v>10</v>
      </c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</row>
    <row r="66" ht="27.75" hidden="1" customHeight="1">
      <c r="A66" s="37" t="s">
        <v>28</v>
      </c>
      <c r="B66" s="37">
        <v>10.0</v>
      </c>
      <c r="C66" s="37" t="s">
        <v>274</v>
      </c>
      <c r="D66" s="37" t="s">
        <v>248</v>
      </c>
      <c r="E66" s="38" t="s">
        <v>275</v>
      </c>
      <c r="F66" s="37">
        <v>65.0</v>
      </c>
      <c r="G66" s="37">
        <f t="array" ref="G66">XLOOKUP(USO_ZONA!$A66,MACROZONAS!B:B,MACROZONAS!A:A)</f>
        <v>2</v>
      </c>
      <c r="H66" s="37">
        <f t="array" ref="H66">XLOOKUP(USO_ZONA!$C66,USOS!H:H,USOS!G:G)</f>
        <v>10</v>
      </c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</row>
    <row r="67" ht="27.75" hidden="1" customHeight="1">
      <c r="A67" s="39" t="s">
        <v>42</v>
      </c>
      <c r="B67" s="39">
        <v>10.0</v>
      </c>
      <c r="C67" s="39" t="s">
        <v>274</v>
      </c>
      <c r="D67" s="39" t="s">
        <v>248</v>
      </c>
      <c r="E67" s="40" t="s">
        <v>275</v>
      </c>
      <c r="F67" s="39">
        <v>66.0</v>
      </c>
      <c r="G67" s="39">
        <f t="array" ref="G67">XLOOKUP(USO_ZONA!$A67,MACROZONAS!B:B,MACROZONAS!A:A)</f>
        <v>3</v>
      </c>
      <c r="H67" s="39">
        <f t="array" ref="H67">XLOOKUP(USO_ZONA!$C67,USOS!H:H,USOS!G:G)</f>
        <v>10</v>
      </c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</row>
    <row r="68" ht="27.75" hidden="1" customHeight="1">
      <c r="A68" s="37" t="s">
        <v>18</v>
      </c>
      <c r="B68" s="37">
        <v>10.0</v>
      </c>
      <c r="C68" s="37" t="s">
        <v>274</v>
      </c>
      <c r="D68" s="37" t="s">
        <v>252</v>
      </c>
      <c r="E68" s="38" t="s">
        <v>272</v>
      </c>
      <c r="F68" s="37">
        <v>67.0</v>
      </c>
      <c r="G68" s="37">
        <f t="array" ref="G68">XLOOKUP(USO_ZONA!$A68,MACROZONAS!B:B,MACROZONAS!A:A)</f>
        <v>4</v>
      </c>
      <c r="H68" s="37">
        <f t="array" ref="H68">XLOOKUP(USO_ZONA!$C68,USOS!H:H,USOS!G:G)</f>
        <v>10</v>
      </c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</row>
    <row r="69" ht="27.75" hidden="1" customHeight="1">
      <c r="A69" s="39" t="s">
        <v>39</v>
      </c>
      <c r="B69" s="39">
        <v>10.0</v>
      </c>
      <c r="C69" s="39" t="s">
        <v>274</v>
      </c>
      <c r="D69" s="39" t="s">
        <v>251</v>
      </c>
      <c r="E69" s="39"/>
      <c r="F69" s="39">
        <v>68.0</v>
      </c>
      <c r="G69" s="39">
        <f t="array" ref="G69">XLOOKUP(USO_ZONA!$A69,MACROZONAS!B:B,MACROZONAS!A:A)</f>
        <v>5</v>
      </c>
      <c r="H69" s="39">
        <f t="array" ref="H69">XLOOKUP(USO_ZONA!$C69,USOS!H:H,USOS!G:G)</f>
        <v>10</v>
      </c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</row>
    <row r="70" ht="27.75" hidden="1" customHeight="1">
      <c r="A70" s="37" t="s">
        <v>29</v>
      </c>
      <c r="B70" s="37">
        <v>10.0</v>
      </c>
      <c r="C70" s="37" t="s">
        <v>274</v>
      </c>
      <c r="D70" s="37" t="s">
        <v>251</v>
      </c>
      <c r="E70" s="37"/>
      <c r="F70" s="37">
        <v>69.0</v>
      </c>
      <c r="G70" s="37">
        <f t="array" ref="G70">XLOOKUP(USO_ZONA!$A70,MACROZONAS!B:B,MACROZONAS!A:A)</f>
        <v>6</v>
      </c>
      <c r="H70" s="37">
        <f t="array" ref="H70">XLOOKUP(USO_ZONA!$C70,USOS!H:H,USOS!G:G)</f>
        <v>10</v>
      </c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</row>
    <row r="71" ht="27.75" hidden="1" customHeight="1">
      <c r="A71" s="39" t="s">
        <v>43</v>
      </c>
      <c r="B71" s="39">
        <v>10.0</v>
      </c>
      <c r="C71" s="39" t="s">
        <v>274</v>
      </c>
      <c r="D71" s="39" t="s">
        <v>252</v>
      </c>
      <c r="E71" s="40" t="s">
        <v>273</v>
      </c>
      <c r="F71" s="39">
        <v>70.0</v>
      </c>
      <c r="G71" s="39">
        <f t="array" ref="G71">XLOOKUP(USO_ZONA!$A71,MACROZONAS!B:B,MACROZONAS!A:A)</f>
        <v>7</v>
      </c>
      <c r="H71" s="39">
        <f t="array" ref="H71">XLOOKUP(USO_ZONA!$C71,USOS!H:H,USOS!G:G)</f>
        <v>10</v>
      </c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</row>
    <row r="72" ht="27.75" hidden="1" customHeight="1">
      <c r="A72" s="37" t="s">
        <v>33</v>
      </c>
      <c r="B72" s="37">
        <v>11.0</v>
      </c>
      <c r="C72" s="37" t="s">
        <v>276</v>
      </c>
      <c r="D72" s="37" t="s">
        <v>248</v>
      </c>
      <c r="E72" s="38" t="s">
        <v>275</v>
      </c>
      <c r="F72" s="37">
        <v>71.0</v>
      </c>
      <c r="G72" s="37">
        <f t="array" ref="G72">XLOOKUP(USO_ZONA!$A72,MACROZONAS!B:B,MACROZONAS!A:A)</f>
        <v>1</v>
      </c>
      <c r="H72" s="37">
        <f t="array" ref="H72">XLOOKUP(USO_ZONA!$C72,USOS!H:H,USOS!G:G)</f>
        <v>11</v>
      </c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</row>
    <row r="73" ht="27.75" hidden="1" customHeight="1">
      <c r="A73" s="39" t="s">
        <v>28</v>
      </c>
      <c r="B73" s="39">
        <v>11.0</v>
      </c>
      <c r="C73" s="39" t="s">
        <v>276</v>
      </c>
      <c r="D73" s="39" t="s">
        <v>248</v>
      </c>
      <c r="E73" s="40" t="s">
        <v>275</v>
      </c>
      <c r="F73" s="39">
        <v>72.0</v>
      </c>
      <c r="G73" s="39">
        <f t="array" ref="G73">XLOOKUP(USO_ZONA!$A73,MACROZONAS!B:B,MACROZONAS!A:A)</f>
        <v>2</v>
      </c>
      <c r="H73" s="39">
        <f t="array" ref="H73">XLOOKUP(USO_ZONA!$C73,USOS!H:H,USOS!G:G)</f>
        <v>11</v>
      </c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</row>
    <row r="74" ht="27.75" hidden="1" customHeight="1">
      <c r="A74" s="37" t="s">
        <v>42</v>
      </c>
      <c r="B74" s="37">
        <v>11.0</v>
      </c>
      <c r="C74" s="37" t="s">
        <v>276</v>
      </c>
      <c r="D74" s="37" t="s">
        <v>248</v>
      </c>
      <c r="E74" s="38" t="s">
        <v>275</v>
      </c>
      <c r="F74" s="37">
        <v>73.0</v>
      </c>
      <c r="G74" s="37">
        <f t="array" ref="G74">XLOOKUP(USO_ZONA!$A74,MACROZONAS!B:B,MACROZONAS!A:A)</f>
        <v>3</v>
      </c>
      <c r="H74" s="37">
        <f t="array" ref="H74">XLOOKUP(USO_ZONA!$C74,USOS!H:H,USOS!G:G)</f>
        <v>11</v>
      </c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</row>
    <row r="75" ht="27.75" hidden="1" customHeight="1">
      <c r="A75" s="39" t="s">
        <v>18</v>
      </c>
      <c r="B75" s="39">
        <v>11.0</v>
      </c>
      <c r="C75" s="39" t="s">
        <v>276</v>
      </c>
      <c r="D75" s="39" t="s">
        <v>252</v>
      </c>
      <c r="E75" s="40" t="s">
        <v>272</v>
      </c>
      <c r="F75" s="39">
        <v>74.0</v>
      </c>
      <c r="G75" s="39">
        <f t="array" ref="G75">XLOOKUP(USO_ZONA!$A75,MACROZONAS!B:B,MACROZONAS!A:A)</f>
        <v>4</v>
      </c>
      <c r="H75" s="39">
        <f t="array" ref="H75">XLOOKUP(USO_ZONA!$C75,USOS!H:H,USOS!G:G)</f>
        <v>11</v>
      </c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</row>
    <row r="76" ht="27.75" hidden="1" customHeight="1">
      <c r="A76" s="37" t="s">
        <v>39</v>
      </c>
      <c r="B76" s="37">
        <v>11.0</v>
      </c>
      <c r="C76" s="37" t="s">
        <v>276</v>
      </c>
      <c r="D76" s="37" t="s">
        <v>251</v>
      </c>
      <c r="E76" s="37"/>
      <c r="F76" s="37">
        <v>75.0</v>
      </c>
      <c r="G76" s="37">
        <f t="array" ref="G76">XLOOKUP(USO_ZONA!$A76,MACROZONAS!B:B,MACROZONAS!A:A)</f>
        <v>5</v>
      </c>
      <c r="H76" s="37">
        <f t="array" ref="H76">XLOOKUP(USO_ZONA!$C76,USOS!H:H,USOS!G:G)</f>
        <v>11</v>
      </c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</row>
    <row r="77" ht="27.75" hidden="1" customHeight="1">
      <c r="A77" s="39" t="s">
        <v>29</v>
      </c>
      <c r="B77" s="39">
        <v>11.0</v>
      </c>
      <c r="C77" s="39" t="s">
        <v>276</v>
      </c>
      <c r="D77" s="39" t="s">
        <v>251</v>
      </c>
      <c r="E77" s="39"/>
      <c r="F77" s="39">
        <v>76.0</v>
      </c>
      <c r="G77" s="39">
        <f t="array" ref="G77">XLOOKUP(USO_ZONA!$A77,MACROZONAS!B:B,MACROZONAS!A:A)</f>
        <v>6</v>
      </c>
      <c r="H77" s="39">
        <f t="array" ref="H77">XLOOKUP(USO_ZONA!$C77,USOS!H:H,USOS!G:G)</f>
        <v>11</v>
      </c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</row>
    <row r="78" ht="27.75" hidden="1" customHeight="1">
      <c r="A78" s="37" t="s">
        <v>43</v>
      </c>
      <c r="B78" s="37">
        <v>11.0</v>
      </c>
      <c r="C78" s="37" t="s">
        <v>276</v>
      </c>
      <c r="D78" s="37" t="s">
        <v>252</v>
      </c>
      <c r="E78" s="38" t="s">
        <v>273</v>
      </c>
      <c r="F78" s="37">
        <v>77.0</v>
      </c>
      <c r="G78" s="37">
        <f t="array" ref="G78">XLOOKUP(USO_ZONA!$A78,MACROZONAS!B:B,MACROZONAS!A:A)</f>
        <v>7</v>
      </c>
      <c r="H78" s="37">
        <f t="array" ref="H78">XLOOKUP(USO_ZONA!$C78,USOS!H:H,USOS!G:G)</f>
        <v>11</v>
      </c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</row>
    <row r="79" ht="27.75" hidden="1" customHeight="1">
      <c r="A79" s="39" t="s">
        <v>33</v>
      </c>
      <c r="B79" s="39">
        <v>12.0</v>
      </c>
      <c r="C79" s="39" t="s">
        <v>277</v>
      </c>
      <c r="D79" s="39" t="s">
        <v>248</v>
      </c>
      <c r="E79" s="40" t="s">
        <v>278</v>
      </c>
      <c r="F79" s="39">
        <v>78.0</v>
      </c>
      <c r="G79" s="39">
        <f t="array" ref="G79">XLOOKUP(USO_ZONA!$A79,MACROZONAS!B:B,MACROZONAS!A:A)</f>
        <v>1</v>
      </c>
      <c r="H79" s="39">
        <f t="array" ref="H79">XLOOKUP(USO_ZONA!$C79,USOS!H:H,USOS!G:G)</f>
        <v>12</v>
      </c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</row>
    <row r="80" ht="27.75" hidden="1" customHeight="1">
      <c r="A80" s="37" t="s">
        <v>28</v>
      </c>
      <c r="B80" s="37">
        <v>12.0</v>
      </c>
      <c r="C80" s="37" t="s">
        <v>277</v>
      </c>
      <c r="D80" s="37" t="s">
        <v>248</v>
      </c>
      <c r="E80" s="38" t="s">
        <v>278</v>
      </c>
      <c r="F80" s="37">
        <v>79.0</v>
      </c>
      <c r="G80" s="37">
        <f t="array" ref="G80">XLOOKUP(USO_ZONA!$A80,MACROZONAS!B:B,MACROZONAS!A:A)</f>
        <v>2</v>
      </c>
      <c r="H80" s="37">
        <f t="array" ref="H80">XLOOKUP(USO_ZONA!$C80,USOS!H:H,USOS!G:G)</f>
        <v>12</v>
      </c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</row>
    <row r="81" ht="27.75" hidden="1" customHeight="1">
      <c r="A81" s="39" t="s">
        <v>42</v>
      </c>
      <c r="B81" s="39">
        <v>12.0</v>
      </c>
      <c r="C81" s="39" t="s">
        <v>277</v>
      </c>
      <c r="D81" s="39" t="s">
        <v>248</v>
      </c>
      <c r="E81" s="40" t="s">
        <v>278</v>
      </c>
      <c r="F81" s="39">
        <v>80.0</v>
      </c>
      <c r="G81" s="39">
        <f t="array" ref="G81">XLOOKUP(USO_ZONA!$A81,MACROZONAS!B:B,MACROZONAS!A:A)</f>
        <v>3</v>
      </c>
      <c r="H81" s="39">
        <f t="array" ref="H81">XLOOKUP(USO_ZONA!$C81,USOS!H:H,USOS!G:G)</f>
        <v>12</v>
      </c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</row>
    <row r="82" ht="27.75" hidden="1" customHeight="1">
      <c r="A82" s="37" t="s">
        <v>18</v>
      </c>
      <c r="B82" s="37">
        <v>12.0</v>
      </c>
      <c r="C82" s="37" t="s">
        <v>277</v>
      </c>
      <c r="D82" s="37" t="s">
        <v>248</v>
      </c>
      <c r="E82" s="38" t="s">
        <v>272</v>
      </c>
      <c r="F82" s="37">
        <v>81.0</v>
      </c>
      <c r="G82" s="37">
        <f t="array" ref="G82">XLOOKUP(USO_ZONA!$A82,MACROZONAS!B:B,MACROZONAS!A:A)</f>
        <v>4</v>
      </c>
      <c r="H82" s="37">
        <f t="array" ref="H82">XLOOKUP(USO_ZONA!$C82,USOS!H:H,USOS!G:G)</f>
        <v>12</v>
      </c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</row>
    <row r="83" ht="27.75" hidden="1" customHeight="1">
      <c r="A83" s="39" t="s">
        <v>39</v>
      </c>
      <c r="B83" s="39">
        <v>12.0</v>
      </c>
      <c r="C83" s="39" t="s">
        <v>277</v>
      </c>
      <c r="D83" s="39" t="s">
        <v>251</v>
      </c>
      <c r="E83" s="39"/>
      <c r="F83" s="39">
        <v>82.0</v>
      </c>
      <c r="G83" s="39">
        <f t="array" ref="G83">XLOOKUP(USO_ZONA!$A83,MACROZONAS!B:B,MACROZONAS!A:A)</f>
        <v>5</v>
      </c>
      <c r="H83" s="39">
        <f t="array" ref="H83">XLOOKUP(USO_ZONA!$C83,USOS!H:H,USOS!G:G)</f>
        <v>12</v>
      </c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</row>
    <row r="84" ht="27.75" hidden="1" customHeight="1">
      <c r="A84" s="37" t="s">
        <v>29</v>
      </c>
      <c r="B84" s="37">
        <v>12.0</v>
      </c>
      <c r="C84" s="37" t="s">
        <v>277</v>
      </c>
      <c r="D84" s="37" t="s">
        <v>252</v>
      </c>
      <c r="E84" s="38" t="s">
        <v>279</v>
      </c>
      <c r="F84" s="37">
        <v>83.0</v>
      </c>
      <c r="G84" s="37">
        <f t="array" ref="G84">XLOOKUP(USO_ZONA!$A84,MACROZONAS!B:B,MACROZONAS!A:A)</f>
        <v>6</v>
      </c>
      <c r="H84" s="37">
        <f t="array" ref="H84">XLOOKUP(USO_ZONA!$C84,USOS!H:H,USOS!G:G)</f>
        <v>12</v>
      </c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</row>
    <row r="85" ht="27.75" hidden="1" customHeight="1">
      <c r="A85" s="39" t="s">
        <v>43</v>
      </c>
      <c r="B85" s="39">
        <v>12.0</v>
      </c>
      <c r="C85" s="39" t="s">
        <v>277</v>
      </c>
      <c r="D85" s="39" t="s">
        <v>252</v>
      </c>
      <c r="E85" s="40" t="s">
        <v>279</v>
      </c>
      <c r="F85" s="39">
        <v>84.0</v>
      </c>
      <c r="G85" s="39">
        <f t="array" ref="G85">XLOOKUP(USO_ZONA!$A85,MACROZONAS!B:B,MACROZONAS!A:A)</f>
        <v>7</v>
      </c>
      <c r="H85" s="39">
        <f t="array" ref="H85">XLOOKUP(USO_ZONA!$C85,USOS!H:H,USOS!G:G)</f>
        <v>12</v>
      </c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</row>
    <row r="86" ht="27.75" hidden="1" customHeight="1">
      <c r="A86" s="37" t="s">
        <v>33</v>
      </c>
      <c r="B86" s="37">
        <v>13.0</v>
      </c>
      <c r="C86" s="37" t="s">
        <v>280</v>
      </c>
      <c r="D86" s="37" t="s">
        <v>248</v>
      </c>
      <c r="E86" s="38" t="s">
        <v>281</v>
      </c>
      <c r="F86" s="37">
        <v>85.0</v>
      </c>
      <c r="G86" s="37">
        <f t="array" ref="G86">XLOOKUP(USO_ZONA!$A86,MACROZONAS!B:B,MACROZONAS!A:A)</f>
        <v>1</v>
      </c>
      <c r="H86" s="37">
        <f t="array" ref="H86">XLOOKUP(USO_ZONA!$C86,USOS!H:H,USOS!G:G)</f>
        <v>13</v>
      </c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</row>
    <row r="87" ht="27.75" hidden="1" customHeight="1">
      <c r="A87" s="39" t="s">
        <v>28</v>
      </c>
      <c r="B87" s="39">
        <v>13.0</v>
      </c>
      <c r="C87" s="39" t="s">
        <v>280</v>
      </c>
      <c r="D87" s="39" t="s">
        <v>248</v>
      </c>
      <c r="E87" s="40" t="s">
        <v>281</v>
      </c>
      <c r="F87" s="39">
        <v>86.0</v>
      </c>
      <c r="G87" s="39">
        <f t="array" ref="G87">XLOOKUP(USO_ZONA!$A87,MACROZONAS!B:B,MACROZONAS!A:A)</f>
        <v>2</v>
      </c>
      <c r="H87" s="39">
        <f t="array" ref="H87">XLOOKUP(USO_ZONA!$C87,USOS!H:H,USOS!G:G)</f>
        <v>13</v>
      </c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</row>
    <row r="88" ht="27.75" hidden="1" customHeight="1">
      <c r="A88" s="37" t="s">
        <v>42</v>
      </c>
      <c r="B88" s="37">
        <v>13.0</v>
      </c>
      <c r="C88" s="37" t="s">
        <v>280</v>
      </c>
      <c r="D88" s="37" t="s">
        <v>248</v>
      </c>
      <c r="E88" s="38" t="s">
        <v>281</v>
      </c>
      <c r="F88" s="37">
        <v>87.0</v>
      </c>
      <c r="G88" s="37">
        <f t="array" ref="G88">XLOOKUP(USO_ZONA!$A88,MACROZONAS!B:B,MACROZONAS!A:A)</f>
        <v>3</v>
      </c>
      <c r="H88" s="37">
        <f t="array" ref="H88">XLOOKUP(USO_ZONA!$C88,USOS!H:H,USOS!G:G)</f>
        <v>13</v>
      </c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</row>
    <row r="89" ht="27.75" hidden="1" customHeight="1">
      <c r="A89" s="39" t="s">
        <v>18</v>
      </c>
      <c r="B89" s="39">
        <v>13.0</v>
      </c>
      <c r="C89" s="39" t="s">
        <v>280</v>
      </c>
      <c r="D89" s="39" t="s">
        <v>248</v>
      </c>
      <c r="E89" s="40" t="s">
        <v>272</v>
      </c>
      <c r="F89" s="39">
        <v>88.0</v>
      </c>
      <c r="G89" s="39">
        <f t="array" ref="G89">XLOOKUP(USO_ZONA!$A89,MACROZONAS!B:B,MACROZONAS!A:A)</f>
        <v>4</v>
      </c>
      <c r="H89" s="39">
        <f t="array" ref="H89">XLOOKUP(USO_ZONA!$C89,USOS!H:H,USOS!G:G)</f>
        <v>13</v>
      </c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</row>
    <row r="90" ht="27.75" hidden="1" customHeight="1">
      <c r="A90" s="37" t="s">
        <v>39</v>
      </c>
      <c r="B90" s="37">
        <v>13.0</v>
      </c>
      <c r="C90" s="37" t="s">
        <v>280</v>
      </c>
      <c r="D90" s="37" t="s">
        <v>251</v>
      </c>
      <c r="E90" s="37"/>
      <c r="F90" s="37">
        <v>89.0</v>
      </c>
      <c r="G90" s="37">
        <f t="array" ref="G90">XLOOKUP(USO_ZONA!$A90,MACROZONAS!B:B,MACROZONAS!A:A)</f>
        <v>5</v>
      </c>
      <c r="H90" s="37">
        <f t="array" ref="H90">XLOOKUP(USO_ZONA!$C90,USOS!H:H,USOS!G:G)</f>
        <v>13</v>
      </c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</row>
    <row r="91" ht="27.75" hidden="1" customHeight="1">
      <c r="A91" s="39" t="s">
        <v>29</v>
      </c>
      <c r="B91" s="39">
        <v>13.0</v>
      </c>
      <c r="C91" s="39" t="s">
        <v>280</v>
      </c>
      <c r="D91" s="39" t="s">
        <v>252</v>
      </c>
      <c r="E91" s="40" t="s">
        <v>279</v>
      </c>
      <c r="F91" s="39">
        <v>90.0</v>
      </c>
      <c r="G91" s="39">
        <f t="array" ref="G91">XLOOKUP(USO_ZONA!$A91,MACROZONAS!B:B,MACROZONAS!A:A)</f>
        <v>6</v>
      </c>
      <c r="H91" s="39">
        <f t="array" ref="H91">XLOOKUP(USO_ZONA!$C91,USOS!H:H,USOS!G:G)</f>
        <v>13</v>
      </c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</row>
    <row r="92" ht="27.75" hidden="1" customHeight="1">
      <c r="A92" s="37" t="s">
        <v>43</v>
      </c>
      <c r="B92" s="37">
        <v>13.0</v>
      </c>
      <c r="C92" s="37" t="s">
        <v>280</v>
      </c>
      <c r="D92" s="37" t="s">
        <v>252</v>
      </c>
      <c r="E92" s="38" t="s">
        <v>279</v>
      </c>
      <c r="F92" s="37">
        <v>91.0</v>
      </c>
      <c r="G92" s="37">
        <f t="array" ref="G92">XLOOKUP(USO_ZONA!$A92,MACROZONAS!B:B,MACROZONAS!A:A)</f>
        <v>7</v>
      </c>
      <c r="H92" s="37">
        <f t="array" ref="H92">XLOOKUP(USO_ZONA!$C92,USOS!H:H,USOS!G:G)</f>
        <v>13</v>
      </c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</row>
    <row r="93" ht="27.75" hidden="1" customHeight="1">
      <c r="A93" s="39" t="s">
        <v>33</v>
      </c>
      <c r="B93" s="39">
        <v>14.0</v>
      </c>
      <c r="C93" s="39" t="s">
        <v>282</v>
      </c>
      <c r="D93" s="39" t="s">
        <v>248</v>
      </c>
      <c r="E93" s="40" t="s">
        <v>281</v>
      </c>
      <c r="F93" s="39">
        <v>92.0</v>
      </c>
      <c r="G93" s="39">
        <f t="array" ref="G93">XLOOKUP(USO_ZONA!$A93,MACROZONAS!B:B,MACROZONAS!A:A)</f>
        <v>1</v>
      </c>
      <c r="H93" s="39">
        <f t="array" ref="H93">XLOOKUP(USO_ZONA!$C93,USOS!H:H,USOS!G:G)</f>
        <v>14</v>
      </c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</row>
    <row r="94" ht="27.75" hidden="1" customHeight="1">
      <c r="A94" s="37" t="s">
        <v>28</v>
      </c>
      <c r="B94" s="37">
        <v>14.0</v>
      </c>
      <c r="C94" s="37" t="s">
        <v>282</v>
      </c>
      <c r="D94" s="37" t="s">
        <v>248</v>
      </c>
      <c r="E94" s="38" t="s">
        <v>281</v>
      </c>
      <c r="F94" s="37">
        <v>93.0</v>
      </c>
      <c r="G94" s="37">
        <f t="array" ref="G94">XLOOKUP(USO_ZONA!$A94,MACROZONAS!B:B,MACROZONAS!A:A)</f>
        <v>2</v>
      </c>
      <c r="H94" s="37">
        <f t="array" ref="H94">XLOOKUP(USO_ZONA!$C94,USOS!H:H,USOS!G:G)</f>
        <v>14</v>
      </c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</row>
    <row r="95" ht="27.75" hidden="1" customHeight="1">
      <c r="A95" s="39" t="s">
        <v>42</v>
      </c>
      <c r="B95" s="39">
        <v>14.0</v>
      </c>
      <c r="C95" s="39" t="s">
        <v>282</v>
      </c>
      <c r="D95" s="39" t="s">
        <v>248</v>
      </c>
      <c r="E95" s="40" t="s">
        <v>281</v>
      </c>
      <c r="F95" s="39">
        <v>94.0</v>
      </c>
      <c r="G95" s="39">
        <f t="array" ref="G95">XLOOKUP(USO_ZONA!$A95,MACROZONAS!B:B,MACROZONAS!A:A)</f>
        <v>3</v>
      </c>
      <c r="H95" s="39">
        <f t="array" ref="H95">XLOOKUP(USO_ZONA!$C95,USOS!H:H,USOS!G:G)</f>
        <v>14</v>
      </c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</row>
    <row r="96" ht="27.75" hidden="1" customHeight="1">
      <c r="A96" s="37" t="s">
        <v>18</v>
      </c>
      <c r="B96" s="37">
        <v>14.0</v>
      </c>
      <c r="C96" s="37" t="s">
        <v>282</v>
      </c>
      <c r="D96" s="37" t="s">
        <v>248</v>
      </c>
      <c r="E96" s="38" t="s">
        <v>272</v>
      </c>
      <c r="F96" s="37">
        <v>95.0</v>
      </c>
      <c r="G96" s="37">
        <f t="array" ref="G96">XLOOKUP(USO_ZONA!$A96,MACROZONAS!B:B,MACROZONAS!A:A)</f>
        <v>4</v>
      </c>
      <c r="H96" s="37">
        <f t="array" ref="H96">XLOOKUP(USO_ZONA!$C96,USOS!H:H,USOS!G:G)</f>
        <v>14</v>
      </c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</row>
    <row r="97" ht="27.75" hidden="1" customHeight="1">
      <c r="A97" s="39" t="s">
        <v>39</v>
      </c>
      <c r="B97" s="39">
        <v>14.0</v>
      </c>
      <c r="C97" s="39" t="s">
        <v>282</v>
      </c>
      <c r="D97" s="39" t="s">
        <v>251</v>
      </c>
      <c r="E97" s="39"/>
      <c r="F97" s="39">
        <v>96.0</v>
      </c>
      <c r="G97" s="39">
        <f t="array" ref="G97">XLOOKUP(USO_ZONA!$A97,MACROZONAS!B:B,MACROZONAS!A:A)</f>
        <v>5</v>
      </c>
      <c r="H97" s="39">
        <f t="array" ref="H97">XLOOKUP(USO_ZONA!$C97,USOS!H:H,USOS!G:G)</f>
        <v>14</v>
      </c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</row>
    <row r="98" ht="27.75" hidden="1" customHeight="1">
      <c r="A98" s="37" t="s">
        <v>29</v>
      </c>
      <c r="B98" s="37">
        <v>14.0</v>
      </c>
      <c r="C98" s="37" t="s">
        <v>282</v>
      </c>
      <c r="D98" s="37" t="s">
        <v>252</v>
      </c>
      <c r="E98" s="38" t="s">
        <v>279</v>
      </c>
      <c r="F98" s="37">
        <v>97.0</v>
      </c>
      <c r="G98" s="37">
        <f t="array" ref="G98">XLOOKUP(USO_ZONA!$A98,MACROZONAS!B:B,MACROZONAS!A:A)</f>
        <v>6</v>
      </c>
      <c r="H98" s="37">
        <f t="array" ref="H98">XLOOKUP(USO_ZONA!$C98,USOS!H:H,USOS!G:G)</f>
        <v>14</v>
      </c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</row>
    <row r="99" ht="27.75" hidden="1" customHeight="1">
      <c r="A99" s="39" t="s">
        <v>43</v>
      </c>
      <c r="B99" s="39">
        <v>14.0</v>
      </c>
      <c r="C99" s="39" t="s">
        <v>282</v>
      </c>
      <c r="D99" s="39" t="s">
        <v>252</v>
      </c>
      <c r="E99" s="40" t="s">
        <v>279</v>
      </c>
      <c r="F99" s="39">
        <v>98.0</v>
      </c>
      <c r="G99" s="39">
        <f t="array" ref="G99">XLOOKUP(USO_ZONA!$A99,MACROZONAS!B:B,MACROZONAS!A:A)</f>
        <v>7</v>
      </c>
      <c r="H99" s="39">
        <f t="array" ref="H99">XLOOKUP(USO_ZONA!$C99,USOS!H:H,USOS!G:G)</f>
        <v>14</v>
      </c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</row>
    <row r="100" ht="27.75" hidden="1" customHeight="1">
      <c r="A100" s="37" t="s">
        <v>33</v>
      </c>
      <c r="B100" s="37">
        <v>15.0</v>
      </c>
      <c r="C100" s="37" t="s">
        <v>283</v>
      </c>
      <c r="D100" s="37" t="s">
        <v>248</v>
      </c>
      <c r="E100" s="38" t="s">
        <v>278</v>
      </c>
      <c r="F100" s="37">
        <v>99.0</v>
      </c>
      <c r="G100" s="37">
        <f t="array" ref="G100">XLOOKUP(USO_ZONA!$A100,MACROZONAS!B:B,MACROZONAS!A:A)</f>
        <v>1</v>
      </c>
      <c r="H100" s="37">
        <f t="array" ref="H100">XLOOKUP(USO_ZONA!$C100,USOS!H:H,USOS!G:G)</f>
        <v>15</v>
      </c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</row>
    <row r="101" ht="27.75" hidden="1" customHeight="1">
      <c r="A101" s="39" t="s">
        <v>28</v>
      </c>
      <c r="B101" s="39">
        <v>15.0</v>
      </c>
      <c r="C101" s="39" t="s">
        <v>283</v>
      </c>
      <c r="D101" s="39" t="s">
        <v>248</v>
      </c>
      <c r="E101" s="40" t="s">
        <v>278</v>
      </c>
      <c r="F101" s="39">
        <v>100.0</v>
      </c>
      <c r="G101" s="39">
        <f t="array" ref="G101">XLOOKUP(USO_ZONA!$A101,MACROZONAS!B:B,MACROZONAS!A:A)</f>
        <v>2</v>
      </c>
      <c r="H101" s="39">
        <f t="array" ref="H101">XLOOKUP(USO_ZONA!$C101,USOS!H:H,USOS!G:G)</f>
        <v>15</v>
      </c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</row>
    <row r="102" ht="27.75" hidden="1" customHeight="1">
      <c r="A102" s="37" t="s">
        <v>42</v>
      </c>
      <c r="B102" s="37">
        <v>15.0</v>
      </c>
      <c r="C102" s="37" t="s">
        <v>283</v>
      </c>
      <c r="D102" s="37" t="s">
        <v>248</v>
      </c>
      <c r="E102" s="38" t="s">
        <v>278</v>
      </c>
      <c r="F102" s="37">
        <v>101.0</v>
      </c>
      <c r="G102" s="37">
        <f t="array" ref="G102">XLOOKUP(USO_ZONA!$A102,MACROZONAS!B:B,MACROZONAS!A:A)</f>
        <v>3</v>
      </c>
      <c r="H102" s="37">
        <f t="array" ref="H102">XLOOKUP(USO_ZONA!$C102,USOS!H:H,USOS!G:G)</f>
        <v>15</v>
      </c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</row>
    <row r="103" ht="27.75" hidden="1" customHeight="1">
      <c r="A103" s="39" t="s">
        <v>18</v>
      </c>
      <c r="B103" s="39">
        <v>15.0</v>
      </c>
      <c r="C103" s="39" t="s">
        <v>283</v>
      </c>
      <c r="D103" s="39" t="s">
        <v>248</v>
      </c>
      <c r="E103" s="40" t="s">
        <v>272</v>
      </c>
      <c r="F103" s="39">
        <v>102.0</v>
      </c>
      <c r="G103" s="39">
        <f t="array" ref="G103">XLOOKUP(USO_ZONA!$A103,MACROZONAS!B:B,MACROZONAS!A:A)</f>
        <v>4</v>
      </c>
      <c r="H103" s="39">
        <f t="array" ref="H103">XLOOKUP(USO_ZONA!$C103,USOS!H:H,USOS!G:G)</f>
        <v>15</v>
      </c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</row>
    <row r="104" ht="27.75" hidden="1" customHeight="1">
      <c r="A104" s="37" t="s">
        <v>39</v>
      </c>
      <c r="B104" s="37">
        <v>15.0</v>
      </c>
      <c r="C104" s="37" t="s">
        <v>283</v>
      </c>
      <c r="D104" s="37" t="s">
        <v>251</v>
      </c>
      <c r="E104" s="37"/>
      <c r="F104" s="37">
        <v>103.0</v>
      </c>
      <c r="G104" s="37">
        <f t="array" ref="G104">XLOOKUP(USO_ZONA!$A104,MACROZONAS!B:B,MACROZONAS!A:A)</f>
        <v>5</v>
      </c>
      <c r="H104" s="37">
        <f t="array" ref="H104">XLOOKUP(USO_ZONA!$C104,USOS!H:H,USOS!G:G)</f>
        <v>15</v>
      </c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</row>
    <row r="105" ht="27.75" hidden="1" customHeight="1">
      <c r="A105" s="39" t="s">
        <v>29</v>
      </c>
      <c r="B105" s="39">
        <v>15.0</v>
      </c>
      <c r="C105" s="39" t="s">
        <v>283</v>
      </c>
      <c r="D105" s="39" t="s">
        <v>251</v>
      </c>
      <c r="E105" s="39"/>
      <c r="F105" s="39">
        <v>104.0</v>
      </c>
      <c r="G105" s="39">
        <f t="array" ref="G105">XLOOKUP(USO_ZONA!$A105,MACROZONAS!B:B,MACROZONAS!A:A)</f>
        <v>6</v>
      </c>
      <c r="H105" s="39">
        <f t="array" ref="H105">XLOOKUP(USO_ZONA!$C105,USOS!H:H,USOS!G:G)</f>
        <v>15</v>
      </c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</row>
    <row r="106" ht="27.75" hidden="1" customHeight="1">
      <c r="A106" s="37" t="s">
        <v>43</v>
      </c>
      <c r="B106" s="37">
        <v>15.0</v>
      </c>
      <c r="C106" s="37" t="s">
        <v>283</v>
      </c>
      <c r="D106" s="37" t="s">
        <v>252</v>
      </c>
      <c r="E106" s="38" t="s">
        <v>284</v>
      </c>
      <c r="F106" s="37">
        <v>105.0</v>
      </c>
      <c r="G106" s="37">
        <f t="array" ref="G106">XLOOKUP(USO_ZONA!$A106,MACROZONAS!B:B,MACROZONAS!A:A)</f>
        <v>7</v>
      </c>
      <c r="H106" s="37">
        <f t="array" ref="H106">XLOOKUP(USO_ZONA!$C106,USOS!H:H,USOS!G:G)</f>
        <v>15</v>
      </c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</row>
    <row r="107" ht="27.75" hidden="1" customHeight="1">
      <c r="A107" s="39" t="s">
        <v>33</v>
      </c>
      <c r="B107" s="39">
        <v>16.0</v>
      </c>
      <c r="C107" s="39" t="s">
        <v>285</v>
      </c>
      <c r="D107" s="39" t="s">
        <v>248</v>
      </c>
      <c r="E107" s="40" t="s">
        <v>286</v>
      </c>
      <c r="F107" s="39">
        <v>106.0</v>
      </c>
      <c r="G107" s="39">
        <f t="array" ref="G107">XLOOKUP(USO_ZONA!$A107,MACROZONAS!B:B,MACROZONAS!A:A)</f>
        <v>1</v>
      </c>
      <c r="H107" s="39">
        <f t="array" ref="H107">XLOOKUP(USO_ZONA!$C107,USOS!H:H,USOS!G:G)</f>
        <v>16</v>
      </c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</row>
    <row r="108" ht="27.75" hidden="1" customHeight="1">
      <c r="A108" s="37" t="s">
        <v>28</v>
      </c>
      <c r="B108" s="37">
        <v>16.0</v>
      </c>
      <c r="C108" s="37" t="s">
        <v>285</v>
      </c>
      <c r="D108" s="37" t="s">
        <v>248</v>
      </c>
      <c r="E108" s="38" t="s">
        <v>286</v>
      </c>
      <c r="F108" s="37">
        <v>107.0</v>
      </c>
      <c r="G108" s="37">
        <f t="array" ref="G108">XLOOKUP(USO_ZONA!$A108,MACROZONAS!B:B,MACROZONAS!A:A)</f>
        <v>2</v>
      </c>
      <c r="H108" s="37">
        <f t="array" ref="H108">XLOOKUP(USO_ZONA!$C108,USOS!H:H,USOS!G:G)</f>
        <v>16</v>
      </c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</row>
    <row r="109" ht="27.75" hidden="1" customHeight="1">
      <c r="A109" s="39" t="s">
        <v>42</v>
      </c>
      <c r="B109" s="39">
        <v>16.0</v>
      </c>
      <c r="C109" s="39" t="s">
        <v>285</v>
      </c>
      <c r="D109" s="39" t="s">
        <v>248</v>
      </c>
      <c r="E109" s="40" t="s">
        <v>286</v>
      </c>
      <c r="F109" s="39">
        <v>108.0</v>
      </c>
      <c r="G109" s="39">
        <f t="array" ref="G109">XLOOKUP(USO_ZONA!$A109,MACROZONAS!B:B,MACROZONAS!A:A)</f>
        <v>3</v>
      </c>
      <c r="H109" s="39">
        <f t="array" ref="H109">XLOOKUP(USO_ZONA!$C109,USOS!H:H,USOS!G:G)</f>
        <v>16</v>
      </c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</row>
    <row r="110" ht="27.75" hidden="1" customHeight="1">
      <c r="A110" s="37" t="s">
        <v>18</v>
      </c>
      <c r="B110" s="37">
        <v>16.0</v>
      </c>
      <c r="C110" s="37" t="s">
        <v>285</v>
      </c>
      <c r="D110" s="37" t="s">
        <v>248</v>
      </c>
      <c r="E110" s="38" t="s">
        <v>272</v>
      </c>
      <c r="F110" s="37">
        <v>109.0</v>
      </c>
      <c r="G110" s="37">
        <f t="array" ref="G110">XLOOKUP(USO_ZONA!$A110,MACROZONAS!B:B,MACROZONAS!A:A)</f>
        <v>4</v>
      </c>
      <c r="H110" s="37">
        <f t="array" ref="H110">XLOOKUP(USO_ZONA!$C110,USOS!H:H,USOS!G:G)</f>
        <v>16</v>
      </c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</row>
    <row r="111" ht="27.75" hidden="1" customHeight="1">
      <c r="A111" s="39" t="s">
        <v>39</v>
      </c>
      <c r="B111" s="39">
        <v>16.0</v>
      </c>
      <c r="C111" s="39" t="s">
        <v>285</v>
      </c>
      <c r="D111" s="39" t="s">
        <v>251</v>
      </c>
      <c r="E111" s="39"/>
      <c r="F111" s="39">
        <v>110.0</v>
      </c>
      <c r="G111" s="39">
        <f t="array" ref="G111">XLOOKUP(USO_ZONA!$A111,MACROZONAS!B:B,MACROZONAS!A:A)</f>
        <v>5</v>
      </c>
      <c r="H111" s="39">
        <f t="array" ref="H111">XLOOKUP(USO_ZONA!$C111,USOS!H:H,USOS!G:G)</f>
        <v>16</v>
      </c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</row>
    <row r="112" ht="27.75" hidden="1" customHeight="1">
      <c r="A112" s="37" t="s">
        <v>29</v>
      </c>
      <c r="B112" s="37">
        <v>16.0</v>
      </c>
      <c r="C112" s="37" t="s">
        <v>285</v>
      </c>
      <c r="D112" s="37" t="s">
        <v>251</v>
      </c>
      <c r="E112" s="37"/>
      <c r="F112" s="37">
        <v>111.0</v>
      </c>
      <c r="G112" s="37">
        <f t="array" ref="G112">XLOOKUP(USO_ZONA!$A112,MACROZONAS!B:B,MACROZONAS!A:A)</f>
        <v>6</v>
      </c>
      <c r="H112" s="37">
        <f t="array" ref="H112">XLOOKUP(USO_ZONA!$C112,USOS!H:H,USOS!G:G)</f>
        <v>16</v>
      </c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</row>
    <row r="113" ht="27.75" hidden="1" customHeight="1">
      <c r="A113" s="39" t="s">
        <v>43</v>
      </c>
      <c r="B113" s="39">
        <v>16.0</v>
      </c>
      <c r="C113" s="39" t="s">
        <v>285</v>
      </c>
      <c r="D113" s="39" t="s">
        <v>252</v>
      </c>
      <c r="E113" s="40" t="s">
        <v>284</v>
      </c>
      <c r="F113" s="39">
        <v>112.0</v>
      </c>
      <c r="G113" s="39">
        <f t="array" ref="G113">XLOOKUP(USO_ZONA!$A113,MACROZONAS!B:B,MACROZONAS!A:A)</f>
        <v>7</v>
      </c>
      <c r="H113" s="39">
        <f t="array" ref="H113">XLOOKUP(USO_ZONA!$C113,USOS!H:H,USOS!G:G)</f>
        <v>16</v>
      </c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</row>
    <row r="114" ht="27.75" hidden="1" customHeight="1">
      <c r="A114" s="37" t="s">
        <v>33</v>
      </c>
      <c r="B114" s="37">
        <v>17.0</v>
      </c>
      <c r="C114" s="37" t="s">
        <v>287</v>
      </c>
      <c r="D114" s="37" t="s">
        <v>248</v>
      </c>
      <c r="E114" s="38" t="s">
        <v>286</v>
      </c>
      <c r="F114" s="37">
        <v>113.0</v>
      </c>
      <c r="G114" s="37">
        <f t="array" ref="G114">XLOOKUP(USO_ZONA!$A114,MACROZONAS!B:B,MACROZONAS!A:A)</f>
        <v>1</v>
      </c>
      <c r="H114" s="37">
        <f t="array" ref="H114">XLOOKUP(USO_ZONA!$C114,USOS!H:H,USOS!G:G)</f>
        <v>17</v>
      </c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</row>
    <row r="115" ht="27.75" hidden="1" customHeight="1">
      <c r="A115" s="39" t="s">
        <v>28</v>
      </c>
      <c r="B115" s="39">
        <v>17.0</v>
      </c>
      <c r="C115" s="39" t="s">
        <v>287</v>
      </c>
      <c r="D115" s="39" t="s">
        <v>248</v>
      </c>
      <c r="E115" s="40" t="s">
        <v>286</v>
      </c>
      <c r="F115" s="39">
        <v>114.0</v>
      </c>
      <c r="G115" s="39">
        <f t="array" ref="G115">XLOOKUP(USO_ZONA!$A115,MACROZONAS!B:B,MACROZONAS!A:A)</f>
        <v>2</v>
      </c>
      <c r="H115" s="39">
        <f t="array" ref="H115">XLOOKUP(USO_ZONA!$C115,USOS!H:H,USOS!G:G)</f>
        <v>17</v>
      </c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</row>
    <row r="116" ht="27.75" hidden="1" customHeight="1">
      <c r="A116" s="37" t="s">
        <v>42</v>
      </c>
      <c r="B116" s="37">
        <v>17.0</v>
      </c>
      <c r="C116" s="37" t="s">
        <v>287</v>
      </c>
      <c r="D116" s="37" t="s">
        <v>248</v>
      </c>
      <c r="E116" s="38" t="s">
        <v>286</v>
      </c>
      <c r="F116" s="37">
        <v>115.0</v>
      </c>
      <c r="G116" s="37">
        <f t="array" ref="G116">XLOOKUP(USO_ZONA!$A116,MACROZONAS!B:B,MACROZONAS!A:A)</f>
        <v>3</v>
      </c>
      <c r="H116" s="37">
        <f t="array" ref="H116">XLOOKUP(USO_ZONA!$C116,USOS!H:H,USOS!G:G)</f>
        <v>17</v>
      </c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</row>
    <row r="117" ht="27.75" hidden="1" customHeight="1">
      <c r="A117" s="39" t="s">
        <v>18</v>
      </c>
      <c r="B117" s="39">
        <v>17.0</v>
      </c>
      <c r="C117" s="39" t="s">
        <v>287</v>
      </c>
      <c r="D117" s="39" t="s">
        <v>248</v>
      </c>
      <c r="E117" s="40" t="s">
        <v>272</v>
      </c>
      <c r="F117" s="39">
        <v>116.0</v>
      </c>
      <c r="G117" s="39">
        <f t="array" ref="G117">XLOOKUP(USO_ZONA!$A117,MACROZONAS!B:B,MACROZONAS!A:A)</f>
        <v>4</v>
      </c>
      <c r="H117" s="39">
        <f t="array" ref="H117">XLOOKUP(USO_ZONA!$C117,USOS!H:H,USOS!G:G)</f>
        <v>17</v>
      </c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</row>
    <row r="118" ht="27.75" hidden="1" customHeight="1">
      <c r="A118" s="37" t="s">
        <v>39</v>
      </c>
      <c r="B118" s="37">
        <v>17.0</v>
      </c>
      <c r="C118" s="37" t="s">
        <v>287</v>
      </c>
      <c r="D118" s="37" t="s">
        <v>251</v>
      </c>
      <c r="E118" s="37"/>
      <c r="F118" s="37">
        <v>117.0</v>
      </c>
      <c r="G118" s="37">
        <f t="array" ref="G118">XLOOKUP(USO_ZONA!$A118,MACROZONAS!B:B,MACROZONAS!A:A)</f>
        <v>5</v>
      </c>
      <c r="H118" s="37">
        <f t="array" ref="H118">XLOOKUP(USO_ZONA!$C118,USOS!H:H,USOS!G:G)</f>
        <v>17</v>
      </c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</row>
    <row r="119" ht="27.75" hidden="1" customHeight="1">
      <c r="A119" s="39" t="s">
        <v>29</v>
      </c>
      <c r="B119" s="39">
        <v>17.0</v>
      </c>
      <c r="C119" s="39" t="s">
        <v>287</v>
      </c>
      <c r="D119" s="39" t="s">
        <v>251</v>
      </c>
      <c r="E119" s="39"/>
      <c r="F119" s="39">
        <v>118.0</v>
      </c>
      <c r="G119" s="39">
        <f t="array" ref="G119">XLOOKUP(USO_ZONA!$A119,MACROZONAS!B:B,MACROZONAS!A:A)</f>
        <v>6</v>
      </c>
      <c r="H119" s="39">
        <f t="array" ref="H119">XLOOKUP(USO_ZONA!$C119,USOS!H:H,USOS!G:G)</f>
        <v>17</v>
      </c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</row>
    <row r="120" ht="27.75" hidden="1" customHeight="1">
      <c r="A120" s="37" t="s">
        <v>43</v>
      </c>
      <c r="B120" s="37">
        <v>17.0</v>
      </c>
      <c r="C120" s="37" t="s">
        <v>287</v>
      </c>
      <c r="D120" s="37" t="s">
        <v>252</v>
      </c>
      <c r="E120" s="38" t="s">
        <v>284</v>
      </c>
      <c r="F120" s="37">
        <v>119.0</v>
      </c>
      <c r="G120" s="37">
        <f t="array" ref="G120">XLOOKUP(USO_ZONA!$A120,MACROZONAS!B:B,MACROZONAS!A:A)</f>
        <v>7</v>
      </c>
      <c r="H120" s="37">
        <f t="array" ref="H120">XLOOKUP(USO_ZONA!$C120,USOS!H:H,USOS!G:G)</f>
        <v>17</v>
      </c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</row>
    <row r="121" ht="27.75" hidden="1" customHeight="1">
      <c r="A121" s="39" t="s">
        <v>33</v>
      </c>
      <c r="B121" s="39">
        <v>18.0</v>
      </c>
      <c r="C121" s="39" t="s">
        <v>288</v>
      </c>
      <c r="D121" s="39" t="s">
        <v>248</v>
      </c>
      <c r="E121" s="40" t="s">
        <v>278</v>
      </c>
      <c r="F121" s="39">
        <v>120.0</v>
      </c>
      <c r="G121" s="39">
        <f t="array" ref="G121">XLOOKUP(USO_ZONA!$A121,MACROZONAS!B:B,MACROZONAS!A:A)</f>
        <v>1</v>
      </c>
      <c r="H121" s="39">
        <f t="array" ref="H121">XLOOKUP(USO_ZONA!$C121,USOS!H:H,USOS!G:G)</f>
        <v>18</v>
      </c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</row>
    <row r="122" ht="27.75" hidden="1" customHeight="1">
      <c r="A122" s="37" t="s">
        <v>28</v>
      </c>
      <c r="B122" s="37">
        <v>18.0</v>
      </c>
      <c r="C122" s="37" t="s">
        <v>288</v>
      </c>
      <c r="D122" s="37" t="s">
        <v>248</v>
      </c>
      <c r="E122" s="38" t="s">
        <v>278</v>
      </c>
      <c r="F122" s="37">
        <v>121.0</v>
      </c>
      <c r="G122" s="37">
        <f t="array" ref="G122">XLOOKUP(USO_ZONA!$A122,MACROZONAS!B:B,MACROZONAS!A:A)</f>
        <v>2</v>
      </c>
      <c r="H122" s="37">
        <f t="array" ref="H122">XLOOKUP(USO_ZONA!$C122,USOS!H:H,USOS!G:G)</f>
        <v>18</v>
      </c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</row>
    <row r="123" ht="27.75" hidden="1" customHeight="1">
      <c r="A123" s="39" t="s">
        <v>42</v>
      </c>
      <c r="B123" s="39">
        <v>18.0</v>
      </c>
      <c r="C123" s="39" t="s">
        <v>288</v>
      </c>
      <c r="D123" s="39" t="s">
        <v>248</v>
      </c>
      <c r="E123" s="40" t="s">
        <v>278</v>
      </c>
      <c r="F123" s="39">
        <v>122.0</v>
      </c>
      <c r="G123" s="39">
        <f t="array" ref="G123">XLOOKUP(USO_ZONA!$A123,MACROZONAS!B:B,MACROZONAS!A:A)</f>
        <v>3</v>
      </c>
      <c r="H123" s="39">
        <f t="array" ref="H123">XLOOKUP(USO_ZONA!$C123,USOS!H:H,USOS!G:G)</f>
        <v>18</v>
      </c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</row>
    <row r="124" ht="27.75" hidden="1" customHeight="1">
      <c r="A124" s="37" t="s">
        <v>18</v>
      </c>
      <c r="B124" s="37">
        <v>18.0</v>
      </c>
      <c r="C124" s="37" t="s">
        <v>288</v>
      </c>
      <c r="D124" s="37" t="s">
        <v>248</v>
      </c>
      <c r="E124" s="38" t="s">
        <v>272</v>
      </c>
      <c r="F124" s="37">
        <v>123.0</v>
      </c>
      <c r="G124" s="37">
        <f t="array" ref="G124">XLOOKUP(USO_ZONA!$A124,MACROZONAS!B:B,MACROZONAS!A:A)</f>
        <v>4</v>
      </c>
      <c r="H124" s="37">
        <f t="array" ref="H124">XLOOKUP(USO_ZONA!$C124,USOS!H:H,USOS!G:G)</f>
        <v>18</v>
      </c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</row>
    <row r="125" ht="27.75" hidden="1" customHeight="1">
      <c r="A125" s="39" t="s">
        <v>39</v>
      </c>
      <c r="B125" s="39">
        <v>18.0</v>
      </c>
      <c r="C125" s="39" t="s">
        <v>288</v>
      </c>
      <c r="D125" s="39" t="s">
        <v>251</v>
      </c>
      <c r="E125" s="39"/>
      <c r="F125" s="39">
        <v>124.0</v>
      </c>
      <c r="G125" s="39">
        <f t="array" ref="G125">XLOOKUP(USO_ZONA!$A125,MACROZONAS!B:B,MACROZONAS!A:A)</f>
        <v>5</v>
      </c>
      <c r="H125" s="39">
        <f t="array" ref="H125">XLOOKUP(USO_ZONA!$C125,USOS!H:H,USOS!G:G)</f>
        <v>18</v>
      </c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</row>
    <row r="126" ht="27.75" hidden="1" customHeight="1">
      <c r="A126" s="37" t="s">
        <v>29</v>
      </c>
      <c r="B126" s="37">
        <v>18.0</v>
      </c>
      <c r="C126" s="37" t="s">
        <v>288</v>
      </c>
      <c r="D126" s="37" t="s">
        <v>251</v>
      </c>
      <c r="E126" s="37"/>
      <c r="F126" s="37">
        <v>125.0</v>
      </c>
      <c r="G126" s="37">
        <f t="array" ref="G126">XLOOKUP(USO_ZONA!$A126,MACROZONAS!B:B,MACROZONAS!A:A)</f>
        <v>6</v>
      </c>
      <c r="H126" s="37">
        <f t="array" ref="H126">XLOOKUP(USO_ZONA!$C126,USOS!H:H,USOS!G:G)</f>
        <v>18</v>
      </c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</row>
    <row r="127" ht="27.75" hidden="1" customHeight="1">
      <c r="A127" s="39" t="s">
        <v>43</v>
      </c>
      <c r="B127" s="39">
        <v>18.0</v>
      </c>
      <c r="C127" s="39" t="s">
        <v>288</v>
      </c>
      <c r="D127" s="39" t="s">
        <v>252</v>
      </c>
      <c r="E127" s="40" t="s">
        <v>284</v>
      </c>
      <c r="F127" s="39">
        <v>126.0</v>
      </c>
      <c r="G127" s="39">
        <f t="array" ref="G127">XLOOKUP(USO_ZONA!$A127,MACROZONAS!B:B,MACROZONAS!A:A)</f>
        <v>7</v>
      </c>
      <c r="H127" s="39">
        <f t="array" ref="H127">XLOOKUP(USO_ZONA!$C127,USOS!H:H,USOS!G:G)</f>
        <v>18</v>
      </c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</row>
    <row r="128" ht="27.75" hidden="1" customHeight="1">
      <c r="A128" s="37" t="s">
        <v>33</v>
      </c>
      <c r="B128" s="37">
        <v>19.0</v>
      </c>
      <c r="C128" s="37" t="s">
        <v>289</v>
      </c>
      <c r="D128" s="37" t="s">
        <v>248</v>
      </c>
      <c r="E128" s="38" t="s">
        <v>286</v>
      </c>
      <c r="F128" s="37">
        <v>127.0</v>
      </c>
      <c r="G128" s="37">
        <f t="array" ref="G128">XLOOKUP(USO_ZONA!$A128,MACROZONAS!B:B,MACROZONAS!A:A)</f>
        <v>1</v>
      </c>
      <c r="H128" s="37">
        <f t="array" ref="H128">XLOOKUP(USO_ZONA!$C128,USOS!H:H,USOS!G:G)</f>
        <v>19</v>
      </c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</row>
    <row r="129" ht="27.75" hidden="1" customHeight="1">
      <c r="A129" s="39" t="s">
        <v>28</v>
      </c>
      <c r="B129" s="39">
        <v>19.0</v>
      </c>
      <c r="C129" s="39" t="s">
        <v>289</v>
      </c>
      <c r="D129" s="39" t="s">
        <v>248</v>
      </c>
      <c r="E129" s="40" t="s">
        <v>286</v>
      </c>
      <c r="F129" s="39">
        <v>128.0</v>
      </c>
      <c r="G129" s="39">
        <f t="array" ref="G129">XLOOKUP(USO_ZONA!$A129,MACROZONAS!B:B,MACROZONAS!A:A)</f>
        <v>2</v>
      </c>
      <c r="H129" s="39">
        <f t="array" ref="H129">XLOOKUP(USO_ZONA!$C129,USOS!H:H,USOS!G:G)</f>
        <v>19</v>
      </c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</row>
    <row r="130" ht="27.75" hidden="1" customHeight="1">
      <c r="A130" s="37" t="s">
        <v>42</v>
      </c>
      <c r="B130" s="37">
        <v>19.0</v>
      </c>
      <c r="C130" s="37" t="s">
        <v>289</v>
      </c>
      <c r="D130" s="37" t="s">
        <v>248</v>
      </c>
      <c r="E130" s="38" t="s">
        <v>286</v>
      </c>
      <c r="F130" s="37">
        <v>129.0</v>
      </c>
      <c r="G130" s="37">
        <f t="array" ref="G130">XLOOKUP(USO_ZONA!$A130,MACROZONAS!B:B,MACROZONAS!A:A)</f>
        <v>3</v>
      </c>
      <c r="H130" s="37">
        <f t="array" ref="H130">XLOOKUP(USO_ZONA!$C130,USOS!H:H,USOS!G:G)</f>
        <v>19</v>
      </c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</row>
    <row r="131" ht="27.75" hidden="1" customHeight="1">
      <c r="A131" s="39" t="s">
        <v>18</v>
      </c>
      <c r="B131" s="39">
        <v>19.0</v>
      </c>
      <c r="C131" s="39" t="s">
        <v>289</v>
      </c>
      <c r="D131" s="39" t="s">
        <v>248</v>
      </c>
      <c r="E131" s="40" t="s">
        <v>272</v>
      </c>
      <c r="F131" s="39">
        <v>130.0</v>
      </c>
      <c r="G131" s="39">
        <f t="array" ref="G131">XLOOKUP(USO_ZONA!$A131,MACROZONAS!B:B,MACROZONAS!A:A)</f>
        <v>4</v>
      </c>
      <c r="H131" s="39">
        <f t="array" ref="H131">XLOOKUP(USO_ZONA!$C131,USOS!H:H,USOS!G:G)</f>
        <v>19</v>
      </c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</row>
    <row r="132" ht="27.75" hidden="1" customHeight="1">
      <c r="A132" s="37" t="s">
        <v>39</v>
      </c>
      <c r="B132" s="37">
        <v>19.0</v>
      </c>
      <c r="C132" s="37" t="s">
        <v>289</v>
      </c>
      <c r="D132" s="37" t="s">
        <v>251</v>
      </c>
      <c r="E132" s="37"/>
      <c r="F132" s="37">
        <v>131.0</v>
      </c>
      <c r="G132" s="37">
        <f t="array" ref="G132">XLOOKUP(USO_ZONA!$A132,MACROZONAS!B:B,MACROZONAS!A:A)</f>
        <v>5</v>
      </c>
      <c r="H132" s="37">
        <f t="array" ref="H132">XLOOKUP(USO_ZONA!$C132,USOS!H:H,USOS!G:G)</f>
        <v>19</v>
      </c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</row>
    <row r="133" ht="27.75" hidden="1" customHeight="1">
      <c r="A133" s="39" t="s">
        <v>29</v>
      </c>
      <c r="B133" s="39">
        <v>19.0</v>
      </c>
      <c r="C133" s="39" t="s">
        <v>289</v>
      </c>
      <c r="D133" s="39" t="s">
        <v>251</v>
      </c>
      <c r="E133" s="39"/>
      <c r="F133" s="39">
        <v>132.0</v>
      </c>
      <c r="G133" s="39">
        <f t="array" ref="G133">XLOOKUP(USO_ZONA!$A133,MACROZONAS!B:B,MACROZONAS!A:A)</f>
        <v>6</v>
      </c>
      <c r="H133" s="39">
        <f t="array" ref="H133">XLOOKUP(USO_ZONA!$C133,USOS!H:H,USOS!G:G)</f>
        <v>19</v>
      </c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</row>
    <row r="134" ht="27.75" hidden="1" customHeight="1">
      <c r="A134" s="37" t="s">
        <v>43</v>
      </c>
      <c r="B134" s="37">
        <v>19.0</v>
      </c>
      <c r="C134" s="37" t="s">
        <v>289</v>
      </c>
      <c r="D134" s="37" t="s">
        <v>252</v>
      </c>
      <c r="E134" s="38" t="s">
        <v>284</v>
      </c>
      <c r="F134" s="37">
        <v>133.0</v>
      </c>
      <c r="G134" s="37">
        <f t="array" ref="G134">XLOOKUP(USO_ZONA!$A134,MACROZONAS!B:B,MACROZONAS!A:A)</f>
        <v>7</v>
      </c>
      <c r="H134" s="37">
        <f t="array" ref="H134">XLOOKUP(USO_ZONA!$C134,USOS!H:H,USOS!G:G)</f>
        <v>19</v>
      </c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</row>
    <row r="135" ht="27.75" hidden="1" customHeight="1">
      <c r="A135" s="39" t="s">
        <v>33</v>
      </c>
      <c r="B135" s="39">
        <v>20.0</v>
      </c>
      <c r="C135" s="39" t="s">
        <v>290</v>
      </c>
      <c r="D135" s="39" t="s">
        <v>248</v>
      </c>
      <c r="E135" s="40" t="s">
        <v>286</v>
      </c>
      <c r="F135" s="39">
        <v>134.0</v>
      </c>
      <c r="G135" s="39">
        <f t="array" ref="G135">XLOOKUP(USO_ZONA!$A135,MACROZONAS!B:B,MACROZONAS!A:A)</f>
        <v>1</v>
      </c>
      <c r="H135" s="39">
        <f t="array" ref="H135">XLOOKUP(USO_ZONA!$C135,USOS!H:H,USOS!G:G)</f>
        <v>20</v>
      </c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</row>
    <row r="136" ht="27.75" hidden="1" customHeight="1">
      <c r="A136" s="37" t="s">
        <v>28</v>
      </c>
      <c r="B136" s="37">
        <v>20.0</v>
      </c>
      <c r="C136" s="37" t="s">
        <v>290</v>
      </c>
      <c r="D136" s="37" t="s">
        <v>248</v>
      </c>
      <c r="E136" s="38" t="s">
        <v>286</v>
      </c>
      <c r="F136" s="37">
        <v>135.0</v>
      </c>
      <c r="G136" s="37">
        <f t="array" ref="G136">XLOOKUP(USO_ZONA!$A136,MACROZONAS!B:B,MACROZONAS!A:A)</f>
        <v>2</v>
      </c>
      <c r="H136" s="37">
        <f t="array" ref="H136">XLOOKUP(USO_ZONA!$C136,USOS!H:H,USOS!G:G)</f>
        <v>20</v>
      </c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</row>
    <row r="137" ht="27.75" hidden="1" customHeight="1">
      <c r="A137" s="39" t="s">
        <v>42</v>
      </c>
      <c r="B137" s="39">
        <v>20.0</v>
      </c>
      <c r="C137" s="39" t="s">
        <v>290</v>
      </c>
      <c r="D137" s="39" t="s">
        <v>248</v>
      </c>
      <c r="E137" s="40" t="s">
        <v>286</v>
      </c>
      <c r="F137" s="39">
        <v>136.0</v>
      </c>
      <c r="G137" s="39">
        <f t="array" ref="G137">XLOOKUP(USO_ZONA!$A137,MACROZONAS!B:B,MACROZONAS!A:A)</f>
        <v>3</v>
      </c>
      <c r="H137" s="39">
        <f t="array" ref="H137">XLOOKUP(USO_ZONA!$C137,USOS!H:H,USOS!G:G)</f>
        <v>20</v>
      </c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</row>
    <row r="138" ht="27.75" hidden="1" customHeight="1">
      <c r="A138" s="37" t="s">
        <v>18</v>
      </c>
      <c r="B138" s="37">
        <v>20.0</v>
      </c>
      <c r="C138" s="37" t="s">
        <v>290</v>
      </c>
      <c r="D138" s="37" t="s">
        <v>248</v>
      </c>
      <c r="E138" s="38" t="s">
        <v>272</v>
      </c>
      <c r="F138" s="37">
        <v>137.0</v>
      </c>
      <c r="G138" s="37">
        <f t="array" ref="G138">XLOOKUP(USO_ZONA!$A138,MACROZONAS!B:B,MACROZONAS!A:A)</f>
        <v>4</v>
      </c>
      <c r="H138" s="37">
        <f t="array" ref="H138">XLOOKUP(USO_ZONA!$C138,USOS!H:H,USOS!G:G)</f>
        <v>20</v>
      </c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</row>
    <row r="139" ht="27.75" hidden="1" customHeight="1">
      <c r="A139" s="39" t="s">
        <v>39</v>
      </c>
      <c r="B139" s="39">
        <v>20.0</v>
      </c>
      <c r="C139" s="39" t="s">
        <v>290</v>
      </c>
      <c r="D139" s="39" t="s">
        <v>251</v>
      </c>
      <c r="E139" s="39"/>
      <c r="F139" s="39">
        <v>138.0</v>
      </c>
      <c r="G139" s="39">
        <f t="array" ref="G139">XLOOKUP(USO_ZONA!$A139,MACROZONAS!B:B,MACROZONAS!A:A)</f>
        <v>5</v>
      </c>
      <c r="H139" s="39">
        <f t="array" ref="H139">XLOOKUP(USO_ZONA!$C139,USOS!H:H,USOS!G:G)</f>
        <v>20</v>
      </c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</row>
    <row r="140" ht="27.75" hidden="1" customHeight="1">
      <c r="A140" s="37" t="s">
        <v>29</v>
      </c>
      <c r="B140" s="37">
        <v>20.0</v>
      </c>
      <c r="C140" s="37" t="s">
        <v>290</v>
      </c>
      <c r="D140" s="37" t="s">
        <v>251</v>
      </c>
      <c r="E140" s="37"/>
      <c r="F140" s="37">
        <v>139.0</v>
      </c>
      <c r="G140" s="37">
        <f t="array" ref="G140">XLOOKUP(USO_ZONA!$A140,MACROZONAS!B:B,MACROZONAS!A:A)</f>
        <v>6</v>
      </c>
      <c r="H140" s="37">
        <f t="array" ref="H140">XLOOKUP(USO_ZONA!$C140,USOS!H:H,USOS!G:G)</f>
        <v>20</v>
      </c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</row>
    <row r="141" ht="27.75" hidden="1" customHeight="1">
      <c r="A141" s="39" t="s">
        <v>43</v>
      </c>
      <c r="B141" s="39">
        <v>20.0</v>
      </c>
      <c r="C141" s="39" t="s">
        <v>290</v>
      </c>
      <c r="D141" s="39" t="s">
        <v>252</v>
      </c>
      <c r="E141" s="40" t="s">
        <v>284</v>
      </c>
      <c r="F141" s="39">
        <v>140.0</v>
      </c>
      <c r="G141" s="39">
        <f t="array" ref="G141">XLOOKUP(USO_ZONA!$A141,MACROZONAS!B:B,MACROZONAS!A:A)</f>
        <v>7</v>
      </c>
      <c r="H141" s="39">
        <f t="array" ref="H141">XLOOKUP(USO_ZONA!$C141,USOS!H:H,USOS!G:G)</f>
        <v>20</v>
      </c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</row>
    <row r="142" ht="27.75" hidden="1" customHeight="1">
      <c r="A142" s="37" t="s">
        <v>33</v>
      </c>
      <c r="B142" s="37">
        <v>21.0</v>
      </c>
      <c r="C142" s="37" t="s">
        <v>291</v>
      </c>
      <c r="D142" s="37" t="s">
        <v>248</v>
      </c>
      <c r="E142" s="38" t="s">
        <v>278</v>
      </c>
      <c r="F142" s="37">
        <v>141.0</v>
      </c>
      <c r="G142" s="37">
        <f t="array" ref="G142">XLOOKUP(USO_ZONA!$A142,MACROZONAS!B:B,MACROZONAS!A:A)</f>
        <v>1</v>
      </c>
      <c r="H142" s="37">
        <f t="array" ref="H142">XLOOKUP(USO_ZONA!$C142,USOS!H:H,USOS!G:G)</f>
        <v>21</v>
      </c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</row>
    <row r="143" ht="27.75" hidden="1" customHeight="1">
      <c r="A143" s="39" t="s">
        <v>28</v>
      </c>
      <c r="B143" s="39">
        <v>21.0</v>
      </c>
      <c r="C143" s="39" t="s">
        <v>291</v>
      </c>
      <c r="D143" s="39" t="s">
        <v>248</v>
      </c>
      <c r="E143" s="40" t="s">
        <v>278</v>
      </c>
      <c r="F143" s="39">
        <v>142.0</v>
      </c>
      <c r="G143" s="39">
        <f t="array" ref="G143">XLOOKUP(USO_ZONA!$A143,MACROZONAS!B:B,MACROZONAS!A:A)</f>
        <v>2</v>
      </c>
      <c r="H143" s="39">
        <f t="array" ref="H143">XLOOKUP(USO_ZONA!$C143,USOS!H:H,USOS!G:G)</f>
        <v>21</v>
      </c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</row>
    <row r="144" ht="27.75" hidden="1" customHeight="1">
      <c r="A144" s="37" t="s">
        <v>42</v>
      </c>
      <c r="B144" s="37">
        <v>21.0</v>
      </c>
      <c r="C144" s="37" t="s">
        <v>291</v>
      </c>
      <c r="D144" s="37" t="s">
        <v>248</v>
      </c>
      <c r="E144" s="38" t="s">
        <v>278</v>
      </c>
      <c r="F144" s="37">
        <v>143.0</v>
      </c>
      <c r="G144" s="37">
        <f t="array" ref="G144">XLOOKUP(USO_ZONA!$A144,MACROZONAS!B:B,MACROZONAS!A:A)</f>
        <v>3</v>
      </c>
      <c r="H144" s="37">
        <f t="array" ref="H144">XLOOKUP(USO_ZONA!$C144,USOS!H:H,USOS!G:G)</f>
        <v>21</v>
      </c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</row>
    <row r="145" ht="27.75" hidden="1" customHeight="1">
      <c r="A145" s="39" t="s">
        <v>18</v>
      </c>
      <c r="B145" s="39">
        <v>21.0</v>
      </c>
      <c r="C145" s="39" t="s">
        <v>291</v>
      </c>
      <c r="D145" s="39" t="s">
        <v>248</v>
      </c>
      <c r="E145" s="40" t="s">
        <v>272</v>
      </c>
      <c r="F145" s="39">
        <v>144.0</v>
      </c>
      <c r="G145" s="39">
        <f t="array" ref="G145">XLOOKUP(USO_ZONA!$A145,MACROZONAS!B:B,MACROZONAS!A:A)</f>
        <v>4</v>
      </c>
      <c r="H145" s="39">
        <f t="array" ref="H145">XLOOKUP(USO_ZONA!$C145,USOS!H:H,USOS!G:G)</f>
        <v>21</v>
      </c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</row>
    <row r="146" ht="27.75" hidden="1" customHeight="1">
      <c r="A146" s="37" t="s">
        <v>39</v>
      </c>
      <c r="B146" s="37">
        <v>21.0</v>
      </c>
      <c r="C146" s="37" t="s">
        <v>291</v>
      </c>
      <c r="D146" s="37" t="s">
        <v>251</v>
      </c>
      <c r="E146" s="37"/>
      <c r="F146" s="37">
        <v>145.0</v>
      </c>
      <c r="G146" s="37">
        <f t="array" ref="G146">XLOOKUP(USO_ZONA!$A146,MACROZONAS!B:B,MACROZONAS!A:A)</f>
        <v>5</v>
      </c>
      <c r="H146" s="37">
        <f t="array" ref="H146">XLOOKUP(USO_ZONA!$C146,USOS!H:H,USOS!G:G)</f>
        <v>21</v>
      </c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</row>
    <row r="147" ht="27.75" hidden="1" customHeight="1">
      <c r="A147" s="39" t="s">
        <v>29</v>
      </c>
      <c r="B147" s="39">
        <v>21.0</v>
      </c>
      <c r="C147" s="39" t="s">
        <v>291</v>
      </c>
      <c r="D147" s="39" t="s">
        <v>251</v>
      </c>
      <c r="E147" s="39"/>
      <c r="F147" s="39">
        <v>146.0</v>
      </c>
      <c r="G147" s="39">
        <f t="array" ref="G147">XLOOKUP(USO_ZONA!$A147,MACROZONAS!B:B,MACROZONAS!A:A)</f>
        <v>6</v>
      </c>
      <c r="H147" s="39">
        <f t="array" ref="H147">XLOOKUP(USO_ZONA!$C147,USOS!H:H,USOS!G:G)</f>
        <v>21</v>
      </c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</row>
    <row r="148" ht="27.75" hidden="1" customHeight="1">
      <c r="A148" s="37" t="s">
        <v>43</v>
      </c>
      <c r="B148" s="37">
        <v>21.0</v>
      </c>
      <c r="C148" s="37" t="s">
        <v>291</v>
      </c>
      <c r="D148" s="37" t="s">
        <v>252</v>
      </c>
      <c r="E148" s="38" t="s">
        <v>284</v>
      </c>
      <c r="F148" s="37">
        <v>147.0</v>
      </c>
      <c r="G148" s="37">
        <f t="array" ref="G148">XLOOKUP(USO_ZONA!$A148,MACROZONAS!B:B,MACROZONAS!A:A)</f>
        <v>7</v>
      </c>
      <c r="H148" s="37">
        <f t="array" ref="H148">XLOOKUP(USO_ZONA!$C148,USOS!H:H,USOS!G:G)</f>
        <v>21</v>
      </c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</row>
    <row r="149" ht="27.75" hidden="1" customHeight="1">
      <c r="A149" s="39" t="s">
        <v>33</v>
      </c>
      <c r="B149" s="39">
        <v>22.0</v>
      </c>
      <c r="C149" s="39" t="s">
        <v>292</v>
      </c>
      <c r="D149" s="39" t="s">
        <v>248</v>
      </c>
      <c r="E149" s="40" t="s">
        <v>286</v>
      </c>
      <c r="F149" s="39">
        <v>148.0</v>
      </c>
      <c r="G149" s="39">
        <f t="array" ref="G149">XLOOKUP(USO_ZONA!$A149,MACROZONAS!B:B,MACROZONAS!A:A)</f>
        <v>1</v>
      </c>
      <c r="H149" s="39">
        <f t="array" ref="H149">XLOOKUP(USO_ZONA!$C149,USOS!H:H,USOS!G:G)</f>
        <v>22</v>
      </c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</row>
    <row r="150" ht="27.75" hidden="1" customHeight="1">
      <c r="A150" s="37" t="s">
        <v>28</v>
      </c>
      <c r="B150" s="37">
        <v>22.0</v>
      </c>
      <c r="C150" s="37" t="s">
        <v>292</v>
      </c>
      <c r="D150" s="37" t="s">
        <v>248</v>
      </c>
      <c r="E150" s="38" t="s">
        <v>286</v>
      </c>
      <c r="F150" s="37">
        <v>149.0</v>
      </c>
      <c r="G150" s="37">
        <f t="array" ref="G150">XLOOKUP(USO_ZONA!$A150,MACROZONAS!B:B,MACROZONAS!A:A)</f>
        <v>2</v>
      </c>
      <c r="H150" s="37">
        <f t="array" ref="H150">XLOOKUP(USO_ZONA!$C150,USOS!H:H,USOS!G:G)</f>
        <v>22</v>
      </c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</row>
    <row r="151" ht="27.75" hidden="1" customHeight="1">
      <c r="A151" s="39" t="s">
        <v>42</v>
      </c>
      <c r="B151" s="39">
        <v>22.0</v>
      </c>
      <c r="C151" s="39" t="s">
        <v>292</v>
      </c>
      <c r="D151" s="39" t="s">
        <v>248</v>
      </c>
      <c r="E151" s="40" t="s">
        <v>286</v>
      </c>
      <c r="F151" s="39">
        <v>150.0</v>
      </c>
      <c r="G151" s="39">
        <f t="array" ref="G151">XLOOKUP(USO_ZONA!$A151,MACROZONAS!B:B,MACROZONAS!A:A)</f>
        <v>3</v>
      </c>
      <c r="H151" s="39">
        <f t="array" ref="H151">XLOOKUP(USO_ZONA!$C151,USOS!H:H,USOS!G:G)</f>
        <v>22</v>
      </c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</row>
    <row r="152" ht="27.75" hidden="1" customHeight="1">
      <c r="A152" s="37" t="s">
        <v>18</v>
      </c>
      <c r="B152" s="37">
        <v>22.0</v>
      </c>
      <c r="C152" s="37" t="s">
        <v>292</v>
      </c>
      <c r="D152" s="37" t="s">
        <v>248</v>
      </c>
      <c r="E152" s="38" t="s">
        <v>272</v>
      </c>
      <c r="F152" s="37">
        <v>151.0</v>
      </c>
      <c r="G152" s="37">
        <f t="array" ref="G152">XLOOKUP(USO_ZONA!$A152,MACROZONAS!B:B,MACROZONAS!A:A)</f>
        <v>4</v>
      </c>
      <c r="H152" s="37">
        <f t="array" ref="H152">XLOOKUP(USO_ZONA!$C152,USOS!H:H,USOS!G:G)</f>
        <v>22</v>
      </c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</row>
    <row r="153" ht="27.75" hidden="1" customHeight="1">
      <c r="A153" s="39" t="s">
        <v>39</v>
      </c>
      <c r="B153" s="39">
        <v>22.0</v>
      </c>
      <c r="C153" s="39" t="s">
        <v>292</v>
      </c>
      <c r="D153" s="39" t="s">
        <v>251</v>
      </c>
      <c r="E153" s="39"/>
      <c r="F153" s="39">
        <v>152.0</v>
      </c>
      <c r="G153" s="39">
        <f t="array" ref="G153">XLOOKUP(USO_ZONA!$A153,MACROZONAS!B:B,MACROZONAS!A:A)</f>
        <v>5</v>
      </c>
      <c r="H153" s="39">
        <f t="array" ref="H153">XLOOKUP(USO_ZONA!$C153,USOS!H:H,USOS!G:G)</f>
        <v>22</v>
      </c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</row>
    <row r="154" ht="27.75" hidden="1" customHeight="1">
      <c r="A154" s="37" t="s">
        <v>29</v>
      </c>
      <c r="B154" s="37">
        <v>22.0</v>
      </c>
      <c r="C154" s="37" t="s">
        <v>292</v>
      </c>
      <c r="D154" s="37" t="s">
        <v>251</v>
      </c>
      <c r="E154" s="37"/>
      <c r="F154" s="37">
        <v>153.0</v>
      </c>
      <c r="G154" s="37">
        <f t="array" ref="G154">XLOOKUP(USO_ZONA!$A154,MACROZONAS!B:B,MACROZONAS!A:A)</f>
        <v>6</v>
      </c>
      <c r="H154" s="37">
        <f t="array" ref="H154">XLOOKUP(USO_ZONA!$C154,USOS!H:H,USOS!G:G)</f>
        <v>22</v>
      </c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</row>
    <row r="155" ht="27.75" hidden="1" customHeight="1">
      <c r="A155" s="39" t="s">
        <v>43</v>
      </c>
      <c r="B155" s="39">
        <v>22.0</v>
      </c>
      <c r="C155" s="39" t="s">
        <v>292</v>
      </c>
      <c r="D155" s="39" t="s">
        <v>252</v>
      </c>
      <c r="E155" s="40" t="s">
        <v>284</v>
      </c>
      <c r="F155" s="39">
        <v>154.0</v>
      </c>
      <c r="G155" s="39">
        <f t="array" ref="G155">XLOOKUP(USO_ZONA!$A155,MACROZONAS!B:B,MACROZONAS!A:A)</f>
        <v>7</v>
      </c>
      <c r="H155" s="39">
        <f t="array" ref="H155">XLOOKUP(USO_ZONA!$C155,USOS!H:H,USOS!G:G)</f>
        <v>22</v>
      </c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</row>
    <row r="156" ht="27.75" hidden="1" customHeight="1">
      <c r="A156" s="37" t="s">
        <v>33</v>
      </c>
      <c r="B156" s="37">
        <v>23.0</v>
      </c>
      <c r="C156" s="37" t="s">
        <v>293</v>
      </c>
      <c r="D156" s="37" t="s">
        <v>248</v>
      </c>
      <c r="E156" s="38" t="s">
        <v>286</v>
      </c>
      <c r="F156" s="37">
        <v>155.0</v>
      </c>
      <c r="G156" s="37">
        <f t="array" ref="G156">XLOOKUP(USO_ZONA!$A156,MACROZONAS!B:B,MACROZONAS!A:A)</f>
        <v>1</v>
      </c>
      <c r="H156" s="37">
        <f t="array" ref="H156">XLOOKUP(USO_ZONA!$C156,USOS!H:H,USOS!G:G)</f>
        <v>23</v>
      </c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</row>
    <row r="157" ht="27.75" hidden="1" customHeight="1">
      <c r="A157" s="39" t="s">
        <v>28</v>
      </c>
      <c r="B157" s="39">
        <v>23.0</v>
      </c>
      <c r="C157" s="39" t="s">
        <v>293</v>
      </c>
      <c r="D157" s="39" t="s">
        <v>248</v>
      </c>
      <c r="E157" s="40" t="s">
        <v>286</v>
      </c>
      <c r="F157" s="39">
        <v>156.0</v>
      </c>
      <c r="G157" s="39">
        <f t="array" ref="G157">XLOOKUP(USO_ZONA!$A157,MACROZONAS!B:B,MACROZONAS!A:A)</f>
        <v>2</v>
      </c>
      <c r="H157" s="39">
        <f t="array" ref="H157">XLOOKUP(USO_ZONA!$C157,USOS!H:H,USOS!G:G)</f>
        <v>23</v>
      </c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</row>
    <row r="158" ht="27.75" hidden="1" customHeight="1">
      <c r="A158" s="37" t="s">
        <v>42</v>
      </c>
      <c r="B158" s="37">
        <v>23.0</v>
      </c>
      <c r="C158" s="37" t="s">
        <v>293</v>
      </c>
      <c r="D158" s="37" t="s">
        <v>248</v>
      </c>
      <c r="E158" s="38" t="s">
        <v>286</v>
      </c>
      <c r="F158" s="37">
        <v>157.0</v>
      </c>
      <c r="G158" s="37">
        <f t="array" ref="G158">XLOOKUP(USO_ZONA!$A158,MACROZONAS!B:B,MACROZONAS!A:A)</f>
        <v>3</v>
      </c>
      <c r="H158" s="37">
        <f t="array" ref="H158">XLOOKUP(USO_ZONA!$C158,USOS!H:H,USOS!G:G)</f>
        <v>23</v>
      </c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</row>
    <row r="159" ht="27.75" hidden="1" customHeight="1">
      <c r="A159" s="39" t="s">
        <v>18</v>
      </c>
      <c r="B159" s="39">
        <v>23.0</v>
      </c>
      <c r="C159" s="39" t="s">
        <v>293</v>
      </c>
      <c r="D159" s="39" t="s">
        <v>248</v>
      </c>
      <c r="E159" s="40" t="s">
        <v>272</v>
      </c>
      <c r="F159" s="39">
        <v>158.0</v>
      </c>
      <c r="G159" s="39">
        <f t="array" ref="G159">XLOOKUP(USO_ZONA!$A159,MACROZONAS!B:B,MACROZONAS!A:A)</f>
        <v>4</v>
      </c>
      <c r="H159" s="39">
        <f t="array" ref="H159">XLOOKUP(USO_ZONA!$C159,USOS!H:H,USOS!G:G)</f>
        <v>23</v>
      </c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</row>
    <row r="160" ht="27.75" hidden="1" customHeight="1">
      <c r="A160" s="37" t="s">
        <v>39</v>
      </c>
      <c r="B160" s="37">
        <v>23.0</v>
      </c>
      <c r="C160" s="37" t="s">
        <v>293</v>
      </c>
      <c r="D160" s="37" t="s">
        <v>251</v>
      </c>
      <c r="E160" s="37"/>
      <c r="F160" s="37">
        <v>159.0</v>
      </c>
      <c r="G160" s="37">
        <f t="array" ref="G160">XLOOKUP(USO_ZONA!$A160,MACROZONAS!B:B,MACROZONAS!A:A)</f>
        <v>5</v>
      </c>
      <c r="H160" s="37">
        <f t="array" ref="H160">XLOOKUP(USO_ZONA!$C160,USOS!H:H,USOS!G:G)</f>
        <v>23</v>
      </c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</row>
    <row r="161" ht="27.75" hidden="1" customHeight="1">
      <c r="A161" s="39" t="s">
        <v>29</v>
      </c>
      <c r="B161" s="39">
        <v>23.0</v>
      </c>
      <c r="C161" s="39" t="s">
        <v>293</v>
      </c>
      <c r="D161" s="39" t="s">
        <v>251</v>
      </c>
      <c r="E161" s="39"/>
      <c r="F161" s="39">
        <v>160.0</v>
      </c>
      <c r="G161" s="39">
        <f t="array" ref="G161">XLOOKUP(USO_ZONA!$A161,MACROZONAS!B:B,MACROZONAS!A:A)</f>
        <v>6</v>
      </c>
      <c r="H161" s="39">
        <f t="array" ref="H161">XLOOKUP(USO_ZONA!$C161,USOS!H:H,USOS!G:G)</f>
        <v>23</v>
      </c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</row>
    <row r="162" ht="27.75" hidden="1" customHeight="1">
      <c r="A162" s="37" t="s">
        <v>43</v>
      </c>
      <c r="B162" s="37">
        <v>23.0</v>
      </c>
      <c r="C162" s="37" t="s">
        <v>293</v>
      </c>
      <c r="D162" s="37" t="s">
        <v>252</v>
      </c>
      <c r="E162" s="38" t="s">
        <v>284</v>
      </c>
      <c r="F162" s="37">
        <v>161.0</v>
      </c>
      <c r="G162" s="37">
        <f t="array" ref="G162">XLOOKUP(USO_ZONA!$A162,MACROZONAS!B:B,MACROZONAS!A:A)</f>
        <v>7</v>
      </c>
      <c r="H162" s="37">
        <f t="array" ref="H162">XLOOKUP(USO_ZONA!$C162,USOS!H:H,USOS!G:G)</f>
        <v>23</v>
      </c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</row>
    <row r="163" ht="27.75" hidden="1" customHeight="1">
      <c r="A163" s="39" t="s">
        <v>33</v>
      </c>
      <c r="B163" s="39">
        <v>24.0</v>
      </c>
      <c r="C163" s="39" t="s">
        <v>294</v>
      </c>
      <c r="D163" s="39" t="s">
        <v>248</v>
      </c>
      <c r="E163" s="40" t="s">
        <v>278</v>
      </c>
      <c r="F163" s="39">
        <v>162.0</v>
      </c>
      <c r="G163" s="39">
        <f t="array" ref="G163">XLOOKUP(USO_ZONA!$A163,MACROZONAS!B:B,MACROZONAS!A:A)</f>
        <v>1</v>
      </c>
      <c r="H163" s="39">
        <f t="array" ref="H163">XLOOKUP(USO_ZONA!$C163,USOS!H:H,USOS!G:G)</f>
        <v>24</v>
      </c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</row>
    <row r="164" ht="27.75" hidden="1" customHeight="1">
      <c r="A164" s="37" t="s">
        <v>28</v>
      </c>
      <c r="B164" s="37">
        <v>24.0</v>
      </c>
      <c r="C164" s="37" t="s">
        <v>294</v>
      </c>
      <c r="D164" s="37" t="s">
        <v>248</v>
      </c>
      <c r="E164" s="38" t="s">
        <v>278</v>
      </c>
      <c r="F164" s="37">
        <v>163.0</v>
      </c>
      <c r="G164" s="37">
        <f t="array" ref="G164">XLOOKUP(USO_ZONA!$A164,MACROZONAS!B:B,MACROZONAS!A:A)</f>
        <v>2</v>
      </c>
      <c r="H164" s="37">
        <f t="array" ref="H164">XLOOKUP(USO_ZONA!$C164,USOS!H:H,USOS!G:G)</f>
        <v>24</v>
      </c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</row>
    <row r="165" ht="27.75" hidden="1" customHeight="1">
      <c r="A165" s="39" t="s">
        <v>42</v>
      </c>
      <c r="B165" s="39">
        <v>24.0</v>
      </c>
      <c r="C165" s="39" t="s">
        <v>294</v>
      </c>
      <c r="D165" s="39" t="s">
        <v>248</v>
      </c>
      <c r="E165" s="40" t="s">
        <v>278</v>
      </c>
      <c r="F165" s="39">
        <v>164.0</v>
      </c>
      <c r="G165" s="39">
        <f t="array" ref="G165">XLOOKUP(USO_ZONA!$A165,MACROZONAS!B:B,MACROZONAS!A:A)</f>
        <v>3</v>
      </c>
      <c r="H165" s="39">
        <f t="array" ref="H165">XLOOKUP(USO_ZONA!$C165,USOS!H:H,USOS!G:G)</f>
        <v>24</v>
      </c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</row>
    <row r="166" ht="27.75" hidden="1" customHeight="1">
      <c r="A166" s="37" t="s">
        <v>18</v>
      </c>
      <c r="B166" s="37">
        <v>24.0</v>
      </c>
      <c r="C166" s="37" t="s">
        <v>294</v>
      </c>
      <c r="D166" s="37" t="s">
        <v>248</v>
      </c>
      <c r="E166" s="38" t="s">
        <v>272</v>
      </c>
      <c r="F166" s="37">
        <v>165.0</v>
      </c>
      <c r="G166" s="37">
        <f t="array" ref="G166">XLOOKUP(USO_ZONA!$A166,MACROZONAS!B:B,MACROZONAS!A:A)</f>
        <v>4</v>
      </c>
      <c r="H166" s="37">
        <f t="array" ref="H166">XLOOKUP(USO_ZONA!$C166,USOS!H:H,USOS!G:G)</f>
        <v>24</v>
      </c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</row>
    <row r="167" ht="27.75" hidden="1" customHeight="1">
      <c r="A167" s="39" t="s">
        <v>39</v>
      </c>
      <c r="B167" s="39">
        <v>24.0</v>
      </c>
      <c r="C167" s="39" t="s">
        <v>294</v>
      </c>
      <c r="D167" s="39" t="s">
        <v>251</v>
      </c>
      <c r="E167" s="39"/>
      <c r="F167" s="39">
        <v>166.0</v>
      </c>
      <c r="G167" s="39">
        <f t="array" ref="G167">XLOOKUP(USO_ZONA!$A167,MACROZONAS!B:B,MACROZONAS!A:A)</f>
        <v>5</v>
      </c>
      <c r="H167" s="39">
        <f t="array" ref="H167">XLOOKUP(USO_ZONA!$C167,USOS!H:H,USOS!G:G)</f>
        <v>24</v>
      </c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</row>
    <row r="168" ht="27.75" hidden="1" customHeight="1">
      <c r="A168" s="37" t="s">
        <v>29</v>
      </c>
      <c r="B168" s="37">
        <v>24.0</v>
      </c>
      <c r="C168" s="37" t="s">
        <v>294</v>
      </c>
      <c r="D168" s="37" t="s">
        <v>252</v>
      </c>
      <c r="E168" s="38" t="s">
        <v>279</v>
      </c>
      <c r="F168" s="37">
        <v>167.0</v>
      </c>
      <c r="G168" s="37">
        <f t="array" ref="G168">XLOOKUP(USO_ZONA!$A168,MACROZONAS!B:B,MACROZONAS!A:A)</f>
        <v>6</v>
      </c>
      <c r="H168" s="37">
        <f t="array" ref="H168">XLOOKUP(USO_ZONA!$C168,USOS!H:H,USOS!G:G)</f>
        <v>24</v>
      </c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</row>
    <row r="169" ht="27.75" hidden="1" customHeight="1">
      <c r="A169" s="39" t="s">
        <v>43</v>
      </c>
      <c r="B169" s="39">
        <v>24.0</v>
      </c>
      <c r="C169" s="39" t="s">
        <v>294</v>
      </c>
      <c r="D169" s="39" t="s">
        <v>252</v>
      </c>
      <c r="E169" s="40" t="s">
        <v>279</v>
      </c>
      <c r="F169" s="39">
        <v>168.0</v>
      </c>
      <c r="G169" s="39">
        <f t="array" ref="G169">XLOOKUP(USO_ZONA!$A169,MACROZONAS!B:B,MACROZONAS!A:A)</f>
        <v>7</v>
      </c>
      <c r="H169" s="39">
        <f t="array" ref="H169">XLOOKUP(USO_ZONA!$C169,USOS!H:H,USOS!G:G)</f>
        <v>24</v>
      </c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</row>
    <row r="170" ht="27.75" hidden="1" customHeight="1">
      <c r="A170" s="37" t="s">
        <v>33</v>
      </c>
      <c r="B170" s="37">
        <v>25.0</v>
      </c>
      <c r="C170" s="37" t="s">
        <v>295</v>
      </c>
      <c r="D170" s="37" t="s">
        <v>248</v>
      </c>
      <c r="E170" s="38" t="s">
        <v>281</v>
      </c>
      <c r="F170" s="37">
        <v>169.0</v>
      </c>
      <c r="G170" s="37">
        <f t="array" ref="G170">XLOOKUP(USO_ZONA!$A170,MACROZONAS!B:B,MACROZONAS!A:A)</f>
        <v>1</v>
      </c>
      <c r="H170" s="37">
        <f t="array" ref="H170">XLOOKUP(USO_ZONA!$C170,USOS!H:H,USOS!G:G)</f>
        <v>25</v>
      </c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</row>
    <row r="171" ht="27.75" hidden="1" customHeight="1">
      <c r="A171" s="39" t="s">
        <v>28</v>
      </c>
      <c r="B171" s="39">
        <v>25.0</v>
      </c>
      <c r="C171" s="39" t="s">
        <v>295</v>
      </c>
      <c r="D171" s="39" t="s">
        <v>248</v>
      </c>
      <c r="E171" s="40" t="s">
        <v>281</v>
      </c>
      <c r="F171" s="39">
        <v>170.0</v>
      </c>
      <c r="G171" s="39">
        <f t="array" ref="G171">XLOOKUP(USO_ZONA!$A171,MACROZONAS!B:B,MACROZONAS!A:A)</f>
        <v>2</v>
      </c>
      <c r="H171" s="39">
        <f t="array" ref="H171">XLOOKUP(USO_ZONA!$C171,USOS!H:H,USOS!G:G)</f>
        <v>25</v>
      </c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</row>
    <row r="172" ht="27.75" hidden="1" customHeight="1">
      <c r="A172" s="37" t="s">
        <v>42</v>
      </c>
      <c r="B172" s="37">
        <v>25.0</v>
      </c>
      <c r="C172" s="37" t="s">
        <v>295</v>
      </c>
      <c r="D172" s="37" t="s">
        <v>248</v>
      </c>
      <c r="E172" s="38" t="s">
        <v>281</v>
      </c>
      <c r="F172" s="37">
        <v>171.0</v>
      </c>
      <c r="G172" s="37">
        <f t="array" ref="G172">XLOOKUP(USO_ZONA!$A172,MACROZONAS!B:B,MACROZONAS!A:A)</f>
        <v>3</v>
      </c>
      <c r="H172" s="37">
        <f t="array" ref="H172">XLOOKUP(USO_ZONA!$C172,USOS!H:H,USOS!G:G)</f>
        <v>25</v>
      </c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</row>
    <row r="173" ht="27.75" hidden="1" customHeight="1">
      <c r="A173" s="39" t="s">
        <v>18</v>
      </c>
      <c r="B173" s="39">
        <v>25.0</v>
      </c>
      <c r="C173" s="39" t="s">
        <v>295</v>
      </c>
      <c r="D173" s="39" t="s">
        <v>248</v>
      </c>
      <c r="E173" s="40" t="s">
        <v>272</v>
      </c>
      <c r="F173" s="39">
        <v>172.0</v>
      </c>
      <c r="G173" s="39">
        <f t="array" ref="G173">XLOOKUP(USO_ZONA!$A173,MACROZONAS!B:B,MACROZONAS!A:A)</f>
        <v>4</v>
      </c>
      <c r="H173" s="39">
        <f t="array" ref="H173">XLOOKUP(USO_ZONA!$C173,USOS!H:H,USOS!G:G)</f>
        <v>25</v>
      </c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</row>
    <row r="174" ht="27.75" hidden="1" customHeight="1">
      <c r="A174" s="37" t="s">
        <v>39</v>
      </c>
      <c r="B174" s="37">
        <v>25.0</v>
      </c>
      <c r="C174" s="37" t="s">
        <v>295</v>
      </c>
      <c r="D174" s="37" t="s">
        <v>251</v>
      </c>
      <c r="E174" s="37"/>
      <c r="F174" s="37">
        <v>173.0</v>
      </c>
      <c r="G174" s="37">
        <f t="array" ref="G174">XLOOKUP(USO_ZONA!$A174,MACROZONAS!B:B,MACROZONAS!A:A)</f>
        <v>5</v>
      </c>
      <c r="H174" s="37">
        <f t="array" ref="H174">XLOOKUP(USO_ZONA!$C174,USOS!H:H,USOS!G:G)</f>
        <v>25</v>
      </c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</row>
    <row r="175" ht="27.75" hidden="1" customHeight="1">
      <c r="A175" s="39" t="s">
        <v>29</v>
      </c>
      <c r="B175" s="39">
        <v>25.0</v>
      </c>
      <c r="C175" s="39" t="s">
        <v>295</v>
      </c>
      <c r="D175" s="39" t="s">
        <v>252</v>
      </c>
      <c r="E175" s="40" t="s">
        <v>279</v>
      </c>
      <c r="F175" s="39">
        <v>174.0</v>
      </c>
      <c r="G175" s="39">
        <f t="array" ref="G175">XLOOKUP(USO_ZONA!$A175,MACROZONAS!B:B,MACROZONAS!A:A)</f>
        <v>6</v>
      </c>
      <c r="H175" s="39">
        <f t="array" ref="H175">XLOOKUP(USO_ZONA!$C175,USOS!H:H,USOS!G:G)</f>
        <v>25</v>
      </c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</row>
    <row r="176" ht="27.75" hidden="1" customHeight="1">
      <c r="A176" s="37" t="s">
        <v>43</v>
      </c>
      <c r="B176" s="37">
        <v>25.0</v>
      </c>
      <c r="C176" s="37" t="s">
        <v>295</v>
      </c>
      <c r="D176" s="37" t="s">
        <v>252</v>
      </c>
      <c r="E176" s="38" t="s">
        <v>279</v>
      </c>
      <c r="F176" s="37">
        <v>175.0</v>
      </c>
      <c r="G176" s="37">
        <f t="array" ref="G176">XLOOKUP(USO_ZONA!$A176,MACROZONAS!B:B,MACROZONAS!A:A)</f>
        <v>7</v>
      </c>
      <c r="H176" s="37">
        <f t="array" ref="H176">XLOOKUP(USO_ZONA!$C176,USOS!H:H,USOS!G:G)</f>
        <v>25</v>
      </c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</row>
    <row r="177" ht="27.75" hidden="1" customHeight="1">
      <c r="A177" s="39" t="s">
        <v>33</v>
      </c>
      <c r="B177" s="39">
        <v>26.0</v>
      </c>
      <c r="C177" s="39" t="s">
        <v>296</v>
      </c>
      <c r="D177" s="39" t="s">
        <v>248</v>
      </c>
      <c r="E177" s="40" t="s">
        <v>281</v>
      </c>
      <c r="F177" s="39">
        <v>176.0</v>
      </c>
      <c r="G177" s="39">
        <f t="array" ref="G177">XLOOKUP(USO_ZONA!$A177,MACROZONAS!B:B,MACROZONAS!A:A)</f>
        <v>1</v>
      </c>
      <c r="H177" s="39">
        <f t="array" ref="H177">XLOOKUP(USO_ZONA!$C177,USOS!H:H,USOS!G:G)</f>
        <v>26</v>
      </c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</row>
    <row r="178" ht="27.75" hidden="1" customHeight="1">
      <c r="A178" s="37" t="s">
        <v>28</v>
      </c>
      <c r="B178" s="37">
        <v>26.0</v>
      </c>
      <c r="C178" s="37" t="s">
        <v>296</v>
      </c>
      <c r="D178" s="37" t="s">
        <v>248</v>
      </c>
      <c r="E178" s="38" t="s">
        <v>281</v>
      </c>
      <c r="F178" s="37">
        <v>177.0</v>
      </c>
      <c r="G178" s="37">
        <f t="array" ref="G178">XLOOKUP(USO_ZONA!$A178,MACROZONAS!B:B,MACROZONAS!A:A)</f>
        <v>2</v>
      </c>
      <c r="H178" s="37">
        <f t="array" ref="H178">XLOOKUP(USO_ZONA!$C178,USOS!H:H,USOS!G:G)</f>
        <v>26</v>
      </c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</row>
    <row r="179" ht="27.75" hidden="1" customHeight="1">
      <c r="A179" s="39" t="s">
        <v>42</v>
      </c>
      <c r="B179" s="39">
        <v>26.0</v>
      </c>
      <c r="C179" s="39" t="s">
        <v>296</v>
      </c>
      <c r="D179" s="39" t="s">
        <v>248</v>
      </c>
      <c r="E179" s="40" t="s">
        <v>281</v>
      </c>
      <c r="F179" s="39">
        <v>178.0</v>
      </c>
      <c r="G179" s="39">
        <f t="array" ref="G179">XLOOKUP(USO_ZONA!$A179,MACROZONAS!B:B,MACROZONAS!A:A)</f>
        <v>3</v>
      </c>
      <c r="H179" s="39">
        <f t="array" ref="H179">XLOOKUP(USO_ZONA!$C179,USOS!H:H,USOS!G:G)</f>
        <v>26</v>
      </c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</row>
    <row r="180" ht="27.75" hidden="1" customHeight="1">
      <c r="A180" s="37" t="s">
        <v>18</v>
      </c>
      <c r="B180" s="37">
        <v>26.0</v>
      </c>
      <c r="C180" s="37" t="s">
        <v>296</v>
      </c>
      <c r="D180" s="37" t="s">
        <v>248</v>
      </c>
      <c r="E180" s="38" t="s">
        <v>272</v>
      </c>
      <c r="F180" s="37">
        <v>179.0</v>
      </c>
      <c r="G180" s="37">
        <f t="array" ref="G180">XLOOKUP(USO_ZONA!$A180,MACROZONAS!B:B,MACROZONAS!A:A)</f>
        <v>4</v>
      </c>
      <c r="H180" s="37">
        <f t="array" ref="H180">XLOOKUP(USO_ZONA!$C180,USOS!H:H,USOS!G:G)</f>
        <v>26</v>
      </c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</row>
    <row r="181" ht="27.75" hidden="1" customHeight="1">
      <c r="A181" s="39" t="s">
        <v>39</v>
      </c>
      <c r="B181" s="39">
        <v>26.0</v>
      </c>
      <c r="C181" s="39" t="s">
        <v>296</v>
      </c>
      <c r="D181" s="39" t="s">
        <v>251</v>
      </c>
      <c r="E181" s="39"/>
      <c r="F181" s="39">
        <v>180.0</v>
      </c>
      <c r="G181" s="39">
        <f t="array" ref="G181">XLOOKUP(USO_ZONA!$A181,MACROZONAS!B:B,MACROZONAS!A:A)</f>
        <v>5</v>
      </c>
      <c r="H181" s="39">
        <f t="array" ref="H181">XLOOKUP(USO_ZONA!$C181,USOS!H:H,USOS!G:G)</f>
        <v>26</v>
      </c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</row>
    <row r="182" ht="27.75" hidden="1" customHeight="1">
      <c r="A182" s="37" t="s">
        <v>29</v>
      </c>
      <c r="B182" s="37">
        <v>26.0</v>
      </c>
      <c r="C182" s="37" t="s">
        <v>296</v>
      </c>
      <c r="D182" s="37" t="s">
        <v>252</v>
      </c>
      <c r="E182" s="38" t="s">
        <v>279</v>
      </c>
      <c r="F182" s="37">
        <v>181.0</v>
      </c>
      <c r="G182" s="37">
        <f t="array" ref="G182">XLOOKUP(USO_ZONA!$A182,MACROZONAS!B:B,MACROZONAS!A:A)</f>
        <v>6</v>
      </c>
      <c r="H182" s="37">
        <f t="array" ref="H182">XLOOKUP(USO_ZONA!$C182,USOS!H:H,USOS!G:G)</f>
        <v>26</v>
      </c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</row>
    <row r="183" ht="27.75" hidden="1" customHeight="1">
      <c r="A183" s="39" t="s">
        <v>43</v>
      </c>
      <c r="B183" s="39">
        <v>26.0</v>
      </c>
      <c r="C183" s="39" t="s">
        <v>296</v>
      </c>
      <c r="D183" s="39" t="s">
        <v>252</v>
      </c>
      <c r="E183" s="40" t="s">
        <v>279</v>
      </c>
      <c r="F183" s="39">
        <v>182.0</v>
      </c>
      <c r="G183" s="39">
        <f t="array" ref="G183">XLOOKUP(USO_ZONA!$A183,MACROZONAS!B:B,MACROZONAS!A:A)</f>
        <v>7</v>
      </c>
      <c r="H183" s="39">
        <f t="array" ref="H183">XLOOKUP(USO_ZONA!$C183,USOS!H:H,USOS!G:G)</f>
        <v>26</v>
      </c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</row>
    <row r="184" ht="27.75" hidden="1" customHeight="1">
      <c r="A184" s="37" t="s">
        <v>33</v>
      </c>
      <c r="B184" s="37">
        <v>27.0</v>
      </c>
      <c r="C184" s="37" t="s">
        <v>297</v>
      </c>
      <c r="D184" s="37" t="s">
        <v>248</v>
      </c>
      <c r="E184" s="38" t="s">
        <v>278</v>
      </c>
      <c r="F184" s="37">
        <v>183.0</v>
      </c>
      <c r="G184" s="37">
        <f t="array" ref="G184">XLOOKUP(USO_ZONA!$A184,MACROZONAS!B:B,MACROZONAS!A:A)</f>
        <v>1</v>
      </c>
      <c r="H184" s="37">
        <f t="array" ref="H184">XLOOKUP(USO_ZONA!$C184,USOS!H:H,USOS!G:G)</f>
        <v>27</v>
      </c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</row>
    <row r="185" ht="27.75" hidden="1" customHeight="1">
      <c r="A185" s="39" t="s">
        <v>28</v>
      </c>
      <c r="B185" s="39">
        <v>27.0</v>
      </c>
      <c r="C185" s="39" t="s">
        <v>297</v>
      </c>
      <c r="D185" s="39" t="s">
        <v>248</v>
      </c>
      <c r="E185" s="40" t="s">
        <v>278</v>
      </c>
      <c r="F185" s="39">
        <v>184.0</v>
      </c>
      <c r="G185" s="39">
        <f t="array" ref="G185">XLOOKUP(USO_ZONA!$A185,MACROZONAS!B:B,MACROZONAS!A:A)</f>
        <v>2</v>
      </c>
      <c r="H185" s="39">
        <f t="array" ref="H185">XLOOKUP(USO_ZONA!$C185,USOS!H:H,USOS!G:G)</f>
        <v>27</v>
      </c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</row>
    <row r="186" ht="27.75" hidden="1" customHeight="1">
      <c r="A186" s="37" t="s">
        <v>42</v>
      </c>
      <c r="B186" s="37">
        <v>27.0</v>
      </c>
      <c r="C186" s="37" t="s">
        <v>297</v>
      </c>
      <c r="D186" s="37" t="s">
        <v>248</v>
      </c>
      <c r="E186" s="38" t="s">
        <v>278</v>
      </c>
      <c r="F186" s="37">
        <v>185.0</v>
      </c>
      <c r="G186" s="37">
        <f t="array" ref="G186">XLOOKUP(USO_ZONA!$A186,MACROZONAS!B:B,MACROZONAS!A:A)</f>
        <v>3</v>
      </c>
      <c r="H186" s="37">
        <f t="array" ref="H186">XLOOKUP(USO_ZONA!$C186,USOS!H:H,USOS!G:G)</f>
        <v>27</v>
      </c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</row>
    <row r="187" ht="27.75" hidden="1" customHeight="1">
      <c r="A187" s="39" t="s">
        <v>18</v>
      </c>
      <c r="B187" s="39">
        <v>27.0</v>
      </c>
      <c r="C187" s="39" t="s">
        <v>297</v>
      </c>
      <c r="D187" s="39" t="s">
        <v>248</v>
      </c>
      <c r="E187" s="40" t="s">
        <v>272</v>
      </c>
      <c r="F187" s="39">
        <v>186.0</v>
      </c>
      <c r="G187" s="39">
        <f t="array" ref="G187">XLOOKUP(USO_ZONA!$A187,MACROZONAS!B:B,MACROZONAS!A:A)</f>
        <v>4</v>
      </c>
      <c r="H187" s="39">
        <f t="array" ref="H187">XLOOKUP(USO_ZONA!$C187,USOS!H:H,USOS!G:G)</f>
        <v>27</v>
      </c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</row>
    <row r="188" ht="27.75" hidden="1" customHeight="1">
      <c r="A188" s="37" t="s">
        <v>39</v>
      </c>
      <c r="B188" s="37">
        <v>27.0</v>
      </c>
      <c r="C188" s="37" t="s">
        <v>297</v>
      </c>
      <c r="D188" s="37" t="s">
        <v>251</v>
      </c>
      <c r="E188" s="37"/>
      <c r="F188" s="37">
        <v>187.0</v>
      </c>
      <c r="G188" s="37">
        <f t="array" ref="G188">XLOOKUP(USO_ZONA!$A188,MACROZONAS!B:B,MACROZONAS!A:A)</f>
        <v>5</v>
      </c>
      <c r="H188" s="37">
        <f t="array" ref="H188">XLOOKUP(USO_ZONA!$C188,USOS!H:H,USOS!G:G)</f>
        <v>27</v>
      </c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</row>
    <row r="189" ht="27.75" hidden="1" customHeight="1">
      <c r="A189" s="39" t="s">
        <v>29</v>
      </c>
      <c r="B189" s="39">
        <v>27.0</v>
      </c>
      <c r="C189" s="39" t="s">
        <v>297</v>
      </c>
      <c r="D189" s="39" t="s">
        <v>252</v>
      </c>
      <c r="E189" s="40" t="s">
        <v>298</v>
      </c>
      <c r="F189" s="39">
        <v>188.0</v>
      </c>
      <c r="G189" s="39">
        <f t="array" ref="G189">XLOOKUP(USO_ZONA!$A189,MACROZONAS!B:B,MACROZONAS!A:A)</f>
        <v>6</v>
      </c>
      <c r="H189" s="39">
        <f t="array" ref="H189">XLOOKUP(USO_ZONA!$C189,USOS!H:H,USOS!G:G)</f>
        <v>27</v>
      </c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</row>
    <row r="190" ht="27.75" hidden="1" customHeight="1">
      <c r="A190" s="37" t="s">
        <v>43</v>
      </c>
      <c r="B190" s="37">
        <v>27.0</v>
      </c>
      <c r="C190" s="37" t="s">
        <v>297</v>
      </c>
      <c r="D190" s="37" t="s">
        <v>252</v>
      </c>
      <c r="E190" s="38" t="s">
        <v>298</v>
      </c>
      <c r="F190" s="37">
        <v>189.0</v>
      </c>
      <c r="G190" s="37">
        <f t="array" ref="G190">XLOOKUP(USO_ZONA!$A190,MACROZONAS!B:B,MACROZONAS!A:A)</f>
        <v>7</v>
      </c>
      <c r="H190" s="37">
        <f t="array" ref="H190">XLOOKUP(USO_ZONA!$C190,USOS!H:H,USOS!G:G)</f>
        <v>27</v>
      </c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</row>
    <row r="191" ht="27.75" hidden="1" customHeight="1">
      <c r="A191" s="39" t="s">
        <v>33</v>
      </c>
      <c r="B191" s="39">
        <v>28.0</v>
      </c>
      <c r="C191" s="39" t="s">
        <v>299</v>
      </c>
      <c r="D191" s="39" t="s">
        <v>248</v>
      </c>
      <c r="E191" s="40" t="s">
        <v>300</v>
      </c>
      <c r="F191" s="39">
        <v>190.0</v>
      </c>
      <c r="G191" s="39">
        <f t="array" ref="G191">XLOOKUP(USO_ZONA!$A191,MACROZONAS!B:B,MACROZONAS!A:A)</f>
        <v>1</v>
      </c>
      <c r="H191" s="39">
        <f t="array" ref="H191">XLOOKUP(USO_ZONA!$C191,USOS!H:H,USOS!G:G)</f>
        <v>28</v>
      </c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</row>
    <row r="192" ht="27.75" hidden="1" customHeight="1">
      <c r="A192" s="37" t="s">
        <v>28</v>
      </c>
      <c r="B192" s="37">
        <v>28.0</v>
      </c>
      <c r="C192" s="37" t="s">
        <v>299</v>
      </c>
      <c r="D192" s="37" t="s">
        <v>248</v>
      </c>
      <c r="E192" s="38" t="s">
        <v>300</v>
      </c>
      <c r="F192" s="37">
        <v>191.0</v>
      </c>
      <c r="G192" s="37">
        <f t="array" ref="G192">XLOOKUP(USO_ZONA!$A192,MACROZONAS!B:B,MACROZONAS!A:A)</f>
        <v>2</v>
      </c>
      <c r="H192" s="37">
        <f t="array" ref="H192">XLOOKUP(USO_ZONA!$C192,USOS!H:H,USOS!G:G)</f>
        <v>28</v>
      </c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</row>
    <row r="193" ht="27.75" hidden="1" customHeight="1">
      <c r="A193" s="39" t="s">
        <v>42</v>
      </c>
      <c r="B193" s="39">
        <v>28.0</v>
      </c>
      <c r="C193" s="39" t="s">
        <v>299</v>
      </c>
      <c r="D193" s="39" t="s">
        <v>248</v>
      </c>
      <c r="E193" s="40" t="s">
        <v>300</v>
      </c>
      <c r="F193" s="39">
        <v>192.0</v>
      </c>
      <c r="G193" s="39">
        <f t="array" ref="G193">XLOOKUP(USO_ZONA!$A193,MACROZONAS!B:B,MACROZONAS!A:A)</f>
        <v>3</v>
      </c>
      <c r="H193" s="39">
        <f t="array" ref="H193">XLOOKUP(USO_ZONA!$C193,USOS!H:H,USOS!G:G)</f>
        <v>28</v>
      </c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</row>
    <row r="194" ht="27.75" hidden="1" customHeight="1">
      <c r="A194" s="37" t="s">
        <v>18</v>
      </c>
      <c r="B194" s="37">
        <v>28.0</v>
      </c>
      <c r="C194" s="37" t="s">
        <v>299</v>
      </c>
      <c r="D194" s="37" t="s">
        <v>248</v>
      </c>
      <c r="E194" s="38" t="s">
        <v>272</v>
      </c>
      <c r="F194" s="37">
        <v>193.0</v>
      </c>
      <c r="G194" s="37">
        <f t="array" ref="G194">XLOOKUP(USO_ZONA!$A194,MACROZONAS!B:B,MACROZONAS!A:A)</f>
        <v>4</v>
      </c>
      <c r="H194" s="37">
        <f t="array" ref="H194">XLOOKUP(USO_ZONA!$C194,USOS!H:H,USOS!G:G)</f>
        <v>28</v>
      </c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</row>
    <row r="195" ht="27.75" hidden="1" customHeight="1">
      <c r="A195" s="39" t="s">
        <v>39</v>
      </c>
      <c r="B195" s="39">
        <v>28.0</v>
      </c>
      <c r="C195" s="39" t="s">
        <v>299</v>
      </c>
      <c r="D195" s="39" t="s">
        <v>251</v>
      </c>
      <c r="E195" s="39"/>
      <c r="F195" s="39">
        <v>194.0</v>
      </c>
      <c r="G195" s="39">
        <f t="array" ref="G195">XLOOKUP(USO_ZONA!$A195,MACROZONAS!B:B,MACROZONAS!A:A)</f>
        <v>5</v>
      </c>
      <c r="H195" s="39">
        <f t="array" ref="H195">XLOOKUP(USO_ZONA!$C195,USOS!H:H,USOS!G:G)</f>
        <v>28</v>
      </c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</row>
    <row r="196" ht="27.75" hidden="1" customHeight="1">
      <c r="A196" s="37" t="s">
        <v>29</v>
      </c>
      <c r="B196" s="37">
        <v>28.0</v>
      </c>
      <c r="C196" s="37" t="s">
        <v>299</v>
      </c>
      <c r="D196" s="37" t="s">
        <v>252</v>
      </c>
      <c r="E196" s="38" t="s">
        <v>298</v>
      </c>
      <c r="F196" s="37">
        <v>195.0</v>
      </c>
      <c r="G196" s="37">
        <f t="array" ref="G196">XLOOKUP(USO_ZONA!$A196,MACROZONAS!B:B,MACROZONAS!A:A)</f>
        <v>6</v>
      </c>
      <c r="H196" s="37">
        <f t="array" ref="H196">XLOOKUP(USO_ZONA!$C196,USOS!H:H,USOS!G:G)</f>
        <v>28</v>
      </c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</row>
    <row r="197" ht="27.75" hidden="1" customHeight="1">
      <c r="A197" s="39" t="s">
        <v>43</v>
      </c>
      <c r="B197" s="39">
        <v>28.0</v>
      </c>
      <c r="C197" s="39" t="s">
        <v>299</v>
      </c>
      <c r="D197" s="39" t="s">
        <v>252</v>
      </c>
      <c r="E197" s="40" t="s">
        <v>298</v>
      </c>
      <c r="F197" s="39">
        <v>196.0</v>
      </c>
      <c r="G197" s="39">
        <f t="array" ref="G197">XLOOKUP(USO_ZONA!$A197,MACROZONAS!B:B,MACROZONAS!A:A)</f>
        <v>7</v>
      </c>
      <c r="H197" s="39">
        <f t="array" ref="H197">XLOOKUP(USO_ZONA!$C197,USOS!H:H,USOS!G:G)</f>
        <v>28</v>
      </c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</row>
    <row r="198" ht="27.75" hidden="1" customHeight="1">
      <c r="A198" s="37" t="s">
        <v>33</v>
      </c>
      <c r="B198" s="37">
        <v>29.0</v>
      </c>
      <c r="C198" s="37" t="s">
        <v>301</v>
      </c>
      <c r="D198" s="37" t="s">
        <v>248</v>
      </c>
      <c r="E198" s="38" t="s">
        <v>300</v>
      </c>
      <c r="F198" s="37">
        <v>197.0</v>
      </c>
      <c r="G198" s="37">
        <f t="array" ref="G198">XLOOKUP(USO_ZONA!$A198,MACROZONAS!B:B,MACROZONAS!A:A)</f>
        <v>1</v>
      </c>
      <c r="H198" s="37">
        <f t="array" ref="H198">XLOOKUP(USO_ZONA!$C198,USOS!H:H,USOS!G:G)</f>
        <v>29</v>
      </c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</row>
    <row r="199" ht="27.75" hidden="1" customHeight="1">
      <c r="A199" s="39" t="s">
        <v>28</v>
      </c>
      <c r="B199" s="39">
        <v>29.0</v>
      </c>
      <c r="C199" s="39" t="s">
        <v>301</v>
      </c>
      <c r="D199" s="39" t="s">
        <v>248</v>
      </c>
      <c r="E199" s="40" t="s">
        <v>300</v>
      </c>
      <c r="F199" s="39">
        <v>198.0</v>
      </c>
      <c r="G199" s="39">
        <f t="array" ref="G199">XLOOKUP(USO_ZONA!$A199,MACROZONAS!B:B,MACROZONAS!A:A)</f>
        <v>2</v>
      </c>
      <c r="H199" s="39">
        <f t="array" ref="H199">XLOOKUP(USO_ZONA!$C199,USOS!H:H,USOS!G:G)</f>
        <v>29</v>
      </c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</row>
    <row r="200" ht="27.75" hidden="1" customHeight="1">
      <c r="A200" s="37" t="s">
        <v>42</v>
      </c>
      <c r="B200" s="37">
        <v>29.0</v>
      </c>
      <c r="C200" s="37" t="s">
        <v>301</v>
      </c>
      <c r="D200" s="37" t="s">
        <v>248</v>
      </c>
      <c r="E200" s="38" t="s">
        <v>300</v>
      </c>
      <c r="F200" s="37">
        <v>199.0</v>
      </c>
      <c r="G200" s="37">
        <f t="array" ref="G200">XLOOKUP(USO_ZONA!$A200,MACROZONAS!B:B,MACROZONAS!A:A)</f>
        <v>3</v>
      </c>
      <c r="H200" s="37">
        <f t="array" ref="H200">XLOOKUP(USO_ZONA!$C200,USOS!H:H,USOS!G:G)</f>
        <v>29</v>
      </c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</row>
    <row r="201" ht="27.75" hidden="1" customHeight="1">
      <c r="A201" s="39" t="s">
        <v>18</v>
      </c>
      <c r="B201" s="39">
        <v>29.0</v>
      </c>
      <c r="C201" s="39" t="s">
        <v>301</v>
      </c>
      <c r="D201" s="39" t="s">
        <v>248</v>
      </c>
      <c r="E201" s="40" t="s">
        <v>272</v>
      </c>
      <c r="F201" s="39">
        <v>200.0</v>
      </c>
      <c r="G201" s="39">
        <f t="array" ref="G201">XLOOKUP(USO_ZONA!$A201,MACROZONAS!B:B,MACROZONAS!A:A)</f>
        <v>4</v>
      </c>
      <c r="H201" s="39">
        <f t="array" ref="H201">XLOOKUP(USO_ZONA!$C201,USOS!H:H,USOS!G:G)</f>
        <v>29</v>
      </c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</row>
    <row r="202" ht="27.75" hidden="1" customHeight="1">
      <c r="A202" s="37" t="s">
        <v>39</v>
      </c>
      <c r="B202" s="37">
        <v>29.0</v>
      </c>
      <c r="C202" s="37" t="s">
        <v>301</v>
      </c>
      <c r="D202" s="37" t="s">
        <v>251</v>
      </c>
      <c r="E202" s="37"/>
      <c r="F202" s="37">
        <v>201.0</v>
      </c>
      <c r="G202" s="37">
        <f t="array" ref="G202">XLOOKUP(USO_ZONA!$A202,MACROZONAS!B:B,MACROZONAS!A:A)</f>
        <v>5</v>
      </c>
      <c r="H202" s="37">
        <f t="array" ref="H202">XLOOKUP(USO_ZONA!$C202,USOS!H:H,USOS!G:G)</f>
        <v>29</v>
      </c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</row>
    <row r="203" ht="27.75" hidden="1" customHeight="1">
      <c r="A203" s="39" t="s">
        <v>29</v>
      </c>
      <c r="B203" s="39">
        <v>29.0</v>
      </c>
      <c r="C203" s="39" t="s">
        <v>301</v>
      </c>
      <c r="D203" s="39" t="s">
        <v>252</v>
      </c>
      <c r="E203" s="40" t="s">
        <v>298</v>
      </c>
      <c r="F203" s="39">
        <v>202.0</v>
      </c>
      <c r="G203" s="39">
        <f t="array" ref="G203">XLOOKUP(USO_ZONA!$A203,MACROZONAS!B:B,MACROZONAS!A:A)</f>
        <v>6</v>
      </c>
      <c r="H203" s="39">
        <f t="array" ref="H203">XLOOKUP(USO_ZONA!$C203,USOS!H:H,USOS!G:G)</f>
        <v>29</v>
      </c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</row>
    <row r="204" ht="27.75" hidden="1" customHeight="1">
      <c r="A204" s="37" t="s">
        <v>43</v>
      </c>
      <c r="B204" s="37">
        <v>29.0</v>
      </c>
      <c r="C204" s="37" t="s">
        <v>301</v>
      </c>
      <c r="D204" s="37" t="s">
        <v>252</v>
      </c>
      <c r="E204" s="38" t="s">
        <v>298</v>
      </c>
      <c r="F204" s="37">
        <v>203.0</v>
      </c>
      <c r="G204" s="37">
        <f t="array" ref="G204">XLOOKUP(USO_ZONA!$A204,MACROZONAS!B:B,MACROZONAS!A:A)</f>
        <v>7</v>
      </c>
      <c r="H204" s="37">
        <f t="array" ref="H204">XLOOKUP(USO_ZONA!$C204,USOS!H:H,USOS!G:G)</f>
        <v>29</v>
      </c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</row>
    <row r="205" ht="27.75" hidden="1" customHeight="1">
      <c r="A205" s="39" t="s">
        <v>33</v>
      </c>
      <c r="B205" s="39">
        <v>30.0</v>
      </c>
      <c r="C205" s="39" t="s">
        <v>302</v>
      </c>
      <c r="D205" s="39" t="s">
        <v>248</v>
      </c>
      <c r="E205" s="40" t="s">
        <v>278</v>
      </c>
      <c r="F205" s="39">
        <v>204.0</v>
      </c>
      <c r="G205" s="39">
        <f t="array" ref="G205">XLOOKUP(USO_ZONA!$A205,MACROZONAS!B:B,MACROZONAS!A:A)</f>
        <v>1</v>
      </c>
      <c r="H205" s="39">
        <f t="array" ref="H205">XLOOKUP(USO_ZONA!$C205,USOS!H:H,USOS!G:G)</f>
        <v>30</v>
      </c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</row>
    <row r="206" ht="27.75" hidden="1" customHeight="1">
      <c r="A206" s="37" t="s">
        <v>28</v>
      </c>
      <c r="B206" s="37">
        <v>30.0</v>
      </c>
      <c r="C206" s="37" t="s">
        <v>302</v>
      </c>
      <c r="D206" s="37" t="s">
        <v>248</v>
      </c>
      <c r="E206" s="38" t="s">
        <v>278</v>
      </c>
      <c r="F206" s="37">
        <v>205.0</v>
      </c>
      <c r="G206" s="37">
        <f t="array" ref="G206">XLOOKUP(USO_ZONA!$A206,MACROZONAS!B:B,MACROZONAS!A:A)</f>
        <v>2</v>
      </c>
      <c r="H206" s="37">
        <f t="array" ref="H206">XLOOKUP(USO_ZONA!$C206,USOS!H:H,USOS!G:G)</f>
        <v>30</v>
      </c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</row>
    <row r="207" ht="27.75" hidden="1" customHeight="1">
      <c r="A207" s="39" t="s">
        <v>42</v>
      </c>
      <c r="B207" s="39">
        <v>30.0</v>
      </c>
      <c r="C207" s="39" t="s">
        <v>302</v>
      </c>
      <c r="D207" s="39" t="s">
        <v>248</v>
      </c>
      <c r="E207" s="40" t="s">
        <v>278</v>
      </c>
      <c r="F207" s="39">
        <v>206.0</v>
      </c>
      <c r="G207" s="39">
        <f t="array" ref="G207">XLOOKUP(USO_ZONA!$A207,MACROZONAS!B:B,MACROZONAS!A:A)</f>
        <v>3</v>
      </c>
      <c r="H207" s="39">
        <f t="array" ref="H207">XLOOKUP(USO_ZONA!$C207,USOS!H:H,USOS!G:G)</f>
        <v>30</v>
      </c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</row>
    <row r="208" ht="27.75" hidden="1" customHeight="1">
      <c r="A208" s="37" t="s">
        <v>18</v>
      </c>
      <c r="B208" s="37">
        <v>30.0</v>
      </c>
      <c r="C208" s="37" t="s">
        <v>302</v>
      </c>
      <c r="D208" s="37" t="s">
        <v>248</v>
      </c>
      <c r="E208" s="38" t="s">
        <v>272</v>
      </c>
      <c r="F208" s="37">
        <v>207.0</v>
      </c>
      <c r="G208" s="37">
        <f t="array" ref="G208">XLOOKUP(USO_ZONA!$A208,MACROZONAS!B:B,MACROZONAS!A:A)</f>
        <v>4</v>
      </c>
      <c r="H208" s="37">
        <f t="array" ref="H208">XLOOKUP(USO_ZONA!$C208,USOS!H:H,USOS!G:G)</f>
        <v>30</v>
      </c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</row>
    <row r="209" ht="27.75" hidden="1" customHeight="1">
      <c r="A209" s="39" t="s">
        <v>39</v>
      </c>
      <c r="B209" s="39">
        <v>30.0</v>
      </c>
      <c r="C209" s="39" t="s">
        <v>302</v>
      </c>
      <c r="D209" s="39" t="s">
        <v>251</v>
      </c>
      <c r="E209" s="39"/>
      <c r="F209" s="39">
        <v>208.0</v>
      </c>
      <c r="G209" s="39">
        <f t="array" ref="G209">XLOOKUP(USO_ZONA!$A209,MACROZONAS!B:B,MACROZONAS!A:A)</f>
        <v>5</v>
      </c>
      <c r="H209" s="39">
        <f t="array" ref="H209">XLOOKUP(USO_ZONA!$C209,USOS!H:H,USOS!G:G)</f>
        <v>30</v>
      </c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</row>
    <row r="210" ht="27.75" hidden="1" customHeight="1">
      <c r="A210" s="37" t="s">
        <v>29</v>
      </c>
      <c r="B210" s="37">
        <v>30.0</v>
      </c>
      <c r="C210" s="37" t="s">
        <v>302</v>
      </c>
      <c r="D210" s="37" t="s">
        <v>252</v>
      </c>
      <c r="E210" s="38" t="s">
        <v>298</v>
      </c>
      <c r="F210" s="37">
        <v>209.0</v>
      </c>
      <c r="G210" s="37">
        <f t="array" ref="G210">XLOOKUP(USO_ZONA!$A210,MACROZONAS!B:B,MACROZONAS!A:A)</f>
        <v>6</v>
      </c>
      <c r="H210" s="37">
        <f t="array" ref="H210">XLOOKUP(USO_ZONA!$C210,USOS!H:H,USOS!G:G)</f>
        <v>30</v>
      </c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</row>
    <row r="211" ht="27.75" hidden="1" customHeight="1">
      <c r="A211" s="39" t="s">
        <v>43</v>
      </c>
      <c r="B211" s="39">
        <v>30.0</v>
      </c>
      <c r="C211" s="39" t="s">
        <v>302</v>
      </c>
      <c r="D211" s="39" t="s">
        <v>252</v>
      </c>
      <c r="E211" s="40" t="s">
        <v>298</v>
      </c>
      <c r="F211" s="39">
        <v>210.0</v>
      </c>
      <c r="G211" s="39">
        <f t="array" ref="G211">XLOOKUP(USO_ZONA!$A211,MACROZONAS!B:B,MACROZONAS!A:A)</f>
        <v>7</v>
      </c>
      <c r="H211" s="39">
        <f t="array" ref="H211">XLOOKUP(USO_ZONA!$C211,USOS!H:H,USOS!G:G)</f>
        <v>30</v>
      </c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</row>
    <row r="212" ht="27.75" hidden="1" customHeight="1">
      <c r="A212" s="37" t="s">
        <v>33</v>
      </c>
      <c r="B212" s="37">
        <v>31.0</v>
      </c>
      <c r="C212" s="37" t="s">
        <v>303</v>
      </c>
      <c r="D212" s="37" t="s">
        <v>248</v>
      </c>
      <c r="E212" s="38" t="s">
        <v>286</v>
      </c>
      <c r="F212" s="37">
        <v>211.0</v>
      </c>
      <c r="G212" s="37">
        <f t="array" ref="G212">XLOOKUP(USO_ZONA!$A212,MACROZONAS!B:B,MACROZONAS!A:A)</f>
        <v>1</v>
      </c>
      <c r="H212" s="37">
        <f t="array" ref="H212">XLOOKUP(USO_ZONA!$C212,USOS!H:H,USOS!G:G)</f>
        <v>31</v>
      </c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</row>
    <row r="213" ht="27.75" hidden="1" customHeight="1">
      <c r="A213" s="39" t="s">
        <v>28</v>
      </c>
      <c r="B213" s="39">
        <v>31.0</v>
      </c>
      <c r="C213" s="39" t="s">
        <v>303</v>
      </c>
      <c r="D213" s="39" t="s">
        <v>248</v>
      </c>
      <c r="E213" s="40" t="s">
        <v>286</v>
      </c>
      <c r="F213" s="39">
        <v>212.0</v>
      </c>
      <c r="G213" s="39">
        <f t="array" ref="G213">XLOOKUP(USO_ZONA!$A213,MACROZONAS!B:B,MACROZONAS!A:A)</f>
        <v>2</v>
      </c>
      <c r="H213" s="39">
        <f t="array" ref="H213">XLOOKUP(USO_ZONA!$C213,USOS!H:H,USOS!G:G)</f>
        <v>31</v>
      </c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</row>
    <row r="214" ht="27.75" hidden="1" customHeight="1">
      <c r="A214" s="37" t="s">
        <v>42</v>
      </c>
      <c r="B214" s="37">
        <v>31.0</v>
      </c>
      <c r="C214" s="37" t="s">
        <v>303</v>
      </c>
      <c r="D214" s="37" t="s">
        <v>248</v>
      </c>
      <c r="E214" s="38" t="s">
        <v>286</v>
      </c>
      <c r="F214" s="37">
        <v>213.0</v>
      </c>
      <c r="G214" s="37">
        <f t="array" ref="G214">XLOOKUP(USO_ZONA!$A214,MACROZONAS!B:B,MACROZONAS!A:A)</f>
        <v>3</v>
      </c>
      <c r="H214" s="37">
        <f t="array" ref="H214">XLOOKUP(USO_ZONA!$C214,USOS!H:H,USOS!G:G)</f>
        <v>31</v>
      </c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</row>
    <row r="215" ht="27.75" hidden="1" customHeight="1">
      <c r="A215" s="39" t="s">
        <v>18</v>
      </c>
      <c r="B215" s="39">
        <v>31.0</v>
      </c>
      <c r="C215" s="39" t="s">
        <v>303</v>
      </c>
      <c r="D215" s="39" t="s">
        <v>248</v>
      </c>
      <c r="E215" s="40" t="s">
        <v>272</v>
      </c>
      <c r="F215" s="39">
        <v>214.0</v>
      </c>
      <c r="G215" s="39">
        <f t="array" ref="G215">XLOOKUP(USO_ZONA!$A215,MACROZONAS!B:B,MACROZONAS!A:A)</f>
        <v>4</v>
      </c>
      <c r="H215" s="39">
        <f t="array" ref="H215">XLOOKUP(USO_ZONA!$C215,USOS!H:H,USOS!G:G)</f>
        <v>31</v>
      </c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</row>
    <row r="216" ht="27.75" hidden="1" customHeight="1">
      <c r="A216" s="37" t="s">
        <v>39</v>
      </c>
      <c r="B216" s="37">
        <v>31.0</v>
      </c>
      <c r="C216" s="37" t="s">
        <v>303</v>
      </c>
      <c r="D216" s="37" t="s">
        <v>251</v>
      </c>
      <c r="E216" s="37"/>
      <c r="F216" s="37">
        <v>215.0</v>
      </c>
      <c r="G216" s="37">
        <f t="array" ref="G216">XLOOKUP(USO_ZONA!$A216,MACROZONAS!B:B,MACROZONAS!A:A)</f>
        <v>5</v>
      </c>
      <c r="H216" s="37">
        <f t="array" ref="H216">XLOOKUP(USO_ZONA!$C216,USOS!H:H,USOS!G:G)</f>
        <v>31</v>
      </c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</row>
    <row r="217" ht="27.75" hidden="1" customHeight="1">
      <c r="A217" s="39" t="s">
        <v>29</v>
      </c>
      <c r="B217" s="39">
        <v>31.0</v>
      </c>
      <c r="C217" s="39" t="s">
        <v>303</v>
      </c>
      <c r="D217" s="39" t="s">
        <v>252</v>
      </c>
      <c r="E217" s="40" t="s">
        <v>298</v>
      </c>
      <c r="F217" s="39">
        <v>216.0</v>
      </c>
      <c r="G217" s="39">
        <f t="array" ref="G217">XLOOKUP(USO_ZONA!$A217,MACROZONAS!B:B,MACROZONAS!A:A)</f>
        <v>6</v>
      </c>
      <c r="H217" s="39">
        <f t="array" ref="H217">XLOOKUP(USO_ZONA!$C217,USOS!H:H,USOS!G:G)</f>
        <v>31</v>
      </c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</row>
    <row r="218" ht="27.75" hidden="1" customHeight="1">
      <c r="A218" s="37" t="s">
        <v>43</v>
      </c>
      <c r="B218" s="37">
        <v>31.0</v>
      </c>
      <c r="C218" s="37" t="s">
        <v>303</v>
      </c>
      <c r="D218" s="37" t="s">
        <v>252</v>
      </c>
      <c r="E218" s="38" t="s">
        <v>298</v>
      </c>
      <c r="F218" s="37">
        <v>217.0</v>
      </c>
      <c r="G218" s="37">
        <f t="array" ref="G218">XLOOKUP(USO_ZONA!$A218,MACROZONAS!B:B,MACROZONAS!A:A)</f>
        <v>7</v>
      </c>
      <c r="H218" s="37">
        <f t="array" ref="H218">XLOOKUP(USO_ZONA!$C218,USOS!H:H,USOS!G:G)</f>
        <v>31</v>
      </c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</row>
    <row r="219" ht="27.75" hidden="1" customHeight="1">
      <c r="A219" s="39" t="s">
        <v>33</v>
      </c>
      <c r="B219" s="39">
        <v>32.0</v>
      </c>
      <c r="C219" s="39" t="s">
        <v>304</v>
      </c>
      <c r="D219" s="39" t="s">
        <v>248</v>
      </c>
      <c r="E219" s="40" t="s">
        <v>286</v>
      </c>
      <c r="F219" s="39">
        <v>218.0</v>
      </c>
      <c r="G219" s="39">
        <f t="array" ref="G219">XLOOKUP(USO_ZONA!$A219,MACROZONAS!B:B,MACROZONAS!A:A)</f>
        <v>1</v>
      </c>
      <c r="H219" s="39">
        <f t="array" ref="H219">XLOOKUP(USO_ZONA!$C219,USOS!H:H,USOS!G:G)</f>
        <v>32</v>
      </c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</row>
    <row r="220" ht="27.75" hidden="1" customHeight="1">
      <c r="A220" s="37" t="s">
        <v>28</v>
      </c>
      <c r="B220" s="37">
        <v>32.0</v>
      </c>
      <c r="C220" s="37" t="s">
        <v>304</v>
      </c>
      <c r="D220" s="37" t="s">
        <v>248</v>
      </c>
      <c r="E220" s="38" t="s">
        <v>286</v>
      </c>
      <c r="F220" s="37">
        <v>219.0</v>
      </c>
      <c r="G220" s="37">
        <f t="array" ref="G220">XLOOKUP(USO_ZONA!$A220,MACROZONAS!B:B,MACROZONAS!A:A)</f>
        <v>2</v>
      </c>
      <c r="H220" s="37">
        <f t="array" ref="H220">XLOOKUP(USO_ZONA!$C220,USOS!H:H,USOS!G:G)</f>
        <v>32</v>
      </c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</row>
    <row r="221" ht="27.75" hidden="1" customHeight="1">
      <c r="A221" s="39" t="s">
        <v>42</v>
      </c>
      <c r="B221" s="39">
        <v>32.0</v>
      </c>
      <c r="C221" s="39" t="s">
        <v>304</v>
      </c>
      <c r="D221" s="39" t="s">
        <v>248</v>
      </c>
      <c r="E221" s="40" t="s">
        <v>286</v>
      </c>
      <c r="F221" s="39">
        <v>220.0</v>
      </c>
      <c r="G221" s="39">
        <f t="array" ref="G221">XLOOKUP(USO_ZONA!$A221,MACROZONAS!B:B,MACROZONAS!A:A)</f>
        <v>3</v>
      </c>
      <c r="H221" s="39">
        <f t="array" ref="H221">XLOOKUP(USO_ZONA!$C221,USOS!H:H,USOS!G:G)</f>
        <v>32</v>
      </c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</row>
    <row r="222" ht="27.75" hidden="1" customHeight="1">
      <c r="A222" s="37" t="s">
        <v>18</v>
      </c>
      <c r="B222" s="37">
        <v>32.0</v>
      </c>
      <c r="C222" s="37" t="s">
        <v>304</v>
      </c>
      <c r="D222" s="37" t="s">
        <v>248</v>
      </c>
      <c r="E222" s="38" t="s">
        <v>272</v>
      </c>
      <c r="F222" s="37">
        <v>221.0</v>
      </c>
      <c r="G222" s="37">
        <f t="array" ref="G222">XLOOKUP(USO_ZONA!$A222,MACROZONAS!B:B,MACROZONAS!A:A)</f>
        <v>4</v>
      </c>
      <c r="H222" s="37">
        <f t="array" ref="H222">XLOOKUP(USO_ZONA!$C222,USOS!H:H,USOS!G:G)</f>
        <v>32</v>
      </c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</row>
    <row r="223" ht="27.75" hidden="1" customHeight="1">
      <c r="A223" s="39" t="s">
        <v>39</v>
      </c>
      <c r="B223" s="39">
        <v>32.0</v>
      </c>
      <c r="C223" s="39" t="s">
        <v>304</v>
      </c>
      <c r="D223" s="39" t="s">
        <v>251</v>
      </c>
      <c r="E223" s="39"/>
      <c r="F223" s="39">
        <v>222.0</v>
      </c>
      <c r="G223" s="39">
        <f t="array" ref="G223">XLOOKUP(USO_ZONA!$A223,MACROZONAS!B:B,MACROZONAS!A:A)</f>
        <v>5</v>
      </c>
      <c r="H223" s="39">
        <f t="array" ref="H223">XLOOKUP(USO_ZONA!$C223,USOS!H:H,USOS!G:G)</f>
        <v>32</v>
      </c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</row>
    <row r="224" ht="27.75" hidden="1" customHeight="1">
      <c r="A224" s="37" t="s">
        <v>29</v>
      </c>
      <c r="B224" s="37">
        <v>32.0</v>
      </c>
      <c r="C224" s="37" t="s">
        <v>304</v>
      </c>
      <c r="D224" s="37" t="s">
        <v>252</v>
      </c>
      <c r="E224" s="38" t="s">
        <v>298</v>
      </c>
      <c r="F224" s="37">
        <v>223.0</v>
      </c>
      <c r="G224" s="37">
        <f t="array" ref="G224">XLOOKUP(USO_ZONA!$A224,MACROZONAS!B:B,MACROZONAS!A:A)</f>
        <v>6</v>
      </c>
      <c r="H224" s="37">
        <f t="array" ref="H224">XLOOKUP(USO_ZONA!$C224,USOS!H:H,USOS!G:G)</f>
        <v>32</v>
      </c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</row>
    <row r="225" ht="27.75" hidden="1" customHeight="1">
      <c r="A225" s="39" t="s">
        <v>43</v>
      </c>
      <c r="B225" s="39">
        <v>32.0</v>
      </c>
      <c r="C225" s="39" t="s">
        <v>304</v>
      </c>
      <c r="D225" s="39" t="s">
        <v>252</v>
      </c>
      <c r="E225" s="40" t="s">
        <v>298</v>
      </c>
      <c r="F225" s="39">
        <v>224.0</v>
      </c>
      <c r="G225" s="39">
        <f t="array" ref="G225">XLOOKUP(USO_ZONA!$A225,MACROZONAS!B:B,MACROZONAS!A:A)</f>
        <v>7</v>
      </c>
      <c r="H225" s="39">
        <f t="array" ref="H225">XLOOKUP(USO_ZONA!$C225,USOS!H:H,USOS!G:G)</f>
        <v>32</v>
      </c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</row>
    <row r="226" ht="27.75" hidden="1" customHeight="1">
      <c r="A226" s="37" t="s">
        <v>33</v>
      </c>
      <c r="B226" s="37">
        <v>33.0</v>
      </c>
      <c r="C226" s="37" t="s">
        <v>305</v>
      </c>
      <c r="D226" s="37" t="s">
        <v>248</v>
      </c>
      <c r="E226" s="38" t="s">
        <v>278</v>
      </c>
      <c r="F226" s="37">
        <v>225.0</v>
      </c>
      <c r="G226" s="37">
        <f t="array" ref="G226">XLOOKUP(USO_ZONA!$A226,MACROZONAS!B:B,MACROZONAS!A:A)</f>
        <v>1</v>
      </c>
      <c r="H226" s="37">
        <f t="array" ref="H226">XLOOKUP(USO_ZONA!$C226,USOS!H:H,USOS!G:G)</f>
        <v>33</v>
      </c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</row>
    <row r="227" ht="27.75" hidden="1" customHeight="1">
      <c r="A227" s="39" t="s">
        <v>28</v>
      </c>
      <c r="B227" s="39">
        <v>33.0</v>
      </c>
      <c r="C227" s="39" t="s">
        <v>305</v>
      </c>
      <c r="D227" s="39" t="s">
        <v>248</v>
      </c>
      <c r="E227" s="40" t="s">
        <v>278</v>
      </c>
      <c r="F227" s="39">
        <v>226.0</v>
      </c>
      <c r="G227" s="39">
        <f t="array" ref="G227">XLOOKUP(USO_ZONA!$A227,MACROZONAS!B:B,MACROZONAS!A:A)</f>
        <v>2</v>
      </c>
      <c r="H227" s="39">
        <f t="array" ref="H227">XLOOKUP(USO_ZONA!$C227,USOS!H:H,USOS!G:G)</f>
        <v>33</v>
      </c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</row>
    <row r="228" ht="27.75" hidden="1" customHeight="1">
      <c r="A228" s="37" t="s">
        <v>42</v>
      </c>
      <c r="B228" s="37">
        <v>33.0</v>
      </c>
      <c r="C228" s="37" t="s">
        <v>305</v>
      </c>
      <c r="D228" s="37" t="s">
        <v>248</v>
      </c>
      <c r="E228" s="38" t="s">
        <v>278</v>
      </c>
      <c r="F228" s="37">
        <v>227.0</v>
      </c>
      <c r="G228" s="37">
        <f t="array" ref="G228">XLOOKUP(USO_ZONA!$A228,MACROZONAS!B:B,MACROZONAS!A:A)</f>
        <v>3</v>
      </c>
      <c r="H228" s="37">
        <f t="array" ref="H228">XLOOKUP(USO_ZONA!$C228,USOS!H:H,USOS!G:G)</f>
        <v>33</v>
      </c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</row>
    <row r="229" ht="27.75" hidden="1" customHeight="1">
      <c r="A229" s="39" t="s">
        <v>18</v>
      </c>
      <c r="B229" s="39">
        <v>33.0</v>
      </c>
      <c r="C229" s="39" t="s">
        <v>305</v>
      </c>
      <c r="D229" s="39" t="s">
        <v>248</v>
      </c>
      <c r="E229" s="40" t="s">
        <v>272</v>
      </c>
      <c r="F229" s="39">
        <v>228.0</v>
      </c>
      <c r="G229" s="39">
        <f t="array" ref="G229">XLOOKUP(USO_ZONA!$A229,MACROZONAS!B:B,MACROZONAS!A:A)</f>
        <v>4</v>
      </c>
      <c r="H229" s="39">
        <f t="array" ref="H229">XLOOKUP(USO_ZONA!$C229,USOS!H:H,USOS!G:G)</f>
        <v>33</v>
      </c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</row>
    <row r="230" ht="27.75" hidden="1" customHeight="1">
      <c r="A230" s="37" t="s">
        <v>39</v>
      </c>
      <c r="B230" s="37">
        <v>33.0</v>
      </c>
      <c r="C230" s="37" t="s">
        <v>305</v>
      </c>
      <c r="D230" s="37" t="s">
        <v>251</v>
      </c>
      <c r="E230" s="37"/>
      <c r="F230" s="37">
        <v>229.0</v>
      </c>
      <c r="G230" s="37">
        <f t="array" ref="G230">XLOOKUP(USO_ZONA!$A230,MACROZONAS!B:B,MACROZONAS!A:A)</f>
        <v>5</v>
      </c>
      <c r="H230" s="37">
        <f t="array" ref="H230">XLOOKUP(USO_ZONA!$C230,USOS!H:H,USOS!G:G)</f>
        <v>33</v>
      </c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</row>
    <row r="231" ht="27.75" hidden="1" customHeight="1">
      <c r="A231" s="39" t="s">
        <v>29</v>
      </c>
      <c r="B231" s="39">
        <v>33.0</v>
      </c>
      <c r="C231" s="39" t="s">
        <v>305</v>
      </c>
      <c r="D231" s="39" t="s">
        <v>252</v>
      </c>
      <c r="E231" s="40" t="s">
        <v>298</v>
      </c>
      <c r="F231" s="39">
        <v>230.0</v>
      </c>
      <c r="G231" s="39">
        <f t="array" ref="G231">XLOOKUP(USO_ZONA!$A231,MACROZONAS!B:B,MACROZONAS!A:A)</f>
        <v>6</v>
      </c>
      <c r="H231" s="39">
        <f t="array" ref="H231">XLOOKUP(USO_ZONA!$C231,USOS!H:H,USOS!G:G)</f>
        <v>33</v>
      </c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</row>
    <row r="232" ht="27.75" hidden="1" customHeight="1">
      <c r="A232" s="37" t="s">
        <v>43</v>
      </c>
      <c r="B232" s="37">
        <v>33.0</v>
      </c>
      <c r="C232" s="37" t="s">
        <v>305</v>
      </c>
      <c r="D232" s="37" t="s">
        <v>252</v>
      </c>
      <c r="E232" s="38" t="s">
        <v>298</v>
      </c>
      <c r="F232" s="37">
        <v>231.0</v>
      </c>
      <c r="G232" s="37">
        <f t="array" ref="G232">XLOOKUP(USO_ZONA!$A232,MACROZONAS!B:B,MACROZONAS!A:A)</f>
        <v>7</v>
      </c>
      <c r="H232" s="37">
        <f t="array" ref="H232">XLOOKUP(USO_ZONA!$C232,USOS!H:H,USOS!G:G)</f>
        <v>33</v>
      </c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</row>
    <row r="233" ht="27.75" hidden="1" customHeight="1">
      <c r="A233" s="39" t="s">
        <v>33</v>
      </c>
      <c r="B233" s="39">
        <v>34.0</v>
      </c>
      <c r="C233" s="39" t="s">
        <v>306</v>
      </c>
      <c r="D233" s="39" t="s">
        <v>248</v>
      </c>
      <c r="E233" s="40" t="s">
        <v>286</v>
      </c>
      <c r="F233" s="39">
        <v>232.0</v>
      </c>
      <c r="G233" s="39">
        <f t="array" ref="G233">XLOOKUP(USO_ZONA!$A233,MACROZONAS!B:B,MACROZONAS!A:A)</f>
        <v>1</v>
      </c>
      <c r="H233" s="39">
        <f t="array" ref="H233">XLOOKUP(USO_ZONA!$C233,USOS!H:H,USOS!G:G)</f>
        <v>34</v>
      </c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</row>
    <row r="234" ht="27.75" hidden="1" customHeight="1">
      <c r="A234" s="37" t="s">
        <v>28</v>
      </c>
      <c r="B234" s="37">
        <v>34.0</v>
      </c>
      <c r="C234" s="37" t="s">
        <v>306</v>
      </c>
      <c r="D234" s="37" t="s">
        <v>248</v>
      </c>
      <c r="E234" s="38" t="s">
        <v>286</v>
      </c>
      <c r="F234" s="37">
        <v>233.0</v>
      </c>
      <c r="G234" s="37">
        <f t="array" ref="G234">XLOOKUP(USO_ZONA!$A234,MACROZONAS!B:B,MACROZONAS!A:A)</f>
        <v>2</v>
      </c>
      <c r="H234" s="37">
        <f t="array" ref="H234">XLOOKUP(USO_ZONA!$C234,USOS!H:H,USOS!G:G)</f>
        <v>34</v>
      </c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</row>
    <row r="235" ht="27.75" hidden="1" customHeight="1">
      <c r="A235" s="39" t="s">
        <v>42</v>
      </c>
      <c r="B235" s="39">
        <v>34.0</v>
      </c>
      <c r="C235" s="39" t="s">
        <v>306</v>
      </c>
      <c r="D235" s="39" t="s">
        <v>248</v>
      </c>
      <c r="E235" s="40" t="s">
        <v>286</v>
      </c>
      <c r="F235" s="39">
        <v>234.0</v>
      </c>
      <c r="G235" s="39">
        <f t="array" ref="G235">XLOOKUP(USO_ZONA!$A235,MACROZONAS!B:B,MACROZONAS!A:A)</f>
        <v>3</v>
      </c>
      <c r="H235" s="39">
        <f t="array" ref="H235">XLOOKUP(USO_ZONA!$C235,USOS!H:H,USOS!G:G)</f>
        <v>34</v>
      </c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</row>
    <row r="236" ht="27.75" hidden="1" customHeight="1">
      <c r="A236" s="37" t="s">
        <v>18</v>
      </c>
      <c r="B236" s="37">
        <v>34.0</v>
      </c>
      <c r="C236" s="37" t="s">
        <v>306</v>
      </c>
      <c r="D236" s="37" t="s">
        <v>248</v>
      </c>
      <c r="E236" s="38" t="s">
        <v>272</v>
      </c>
      <c r="F236" s="37">
        <v>235.0</v>
      </c>
      <c r="G236" s="37">
        <f t="array" ref="G236">XLOOKUP(USO_ZONA!$A236,MACROZONAS!B:B,MACROZONAS!A:A)</f>
        <v>4</v>
      </c>
      <c r="H236" s="37">
        <f t="array" ref="H236">XLOOKUP(USO_ZONA!$C236,USOS!H:H,USOS!G:G)</f>
        <v>34</v>
      </c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</row>
    <row r="237" ht="27.75" hidden="1" customHeight="1">
      <c r="A237" s="39" t="s">
        <v>39</v>
      </c>
      <c r="B237" s="39">
        <v>34.0</v>
      </c>
      <c r="C237" s="39" t="s">
        <v>306</v>
      </c>
      <c r="D237" s="39" t="s">
        <v>251</v>
      </c>
      <c r="E237" s="39"/>
      <c r="F237" s="39">
        <v>236.0</v>
      </c>
      <c r="G237" s="39">
        <f t="array" ref="G237">XLOOKUP(USO_ZONA!$A237,MACROZONAS!B:B,MACROZONAS!A:A)</f>
        <v>5</v>
      </c>
      <c r="H237" s="39">
        <f t="array" ref="H237">XLOOKUP(USO_ZONA!$C237,USOS!H:H,USOS!G:G)</f>
        <v>34</v>
      </c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</row>
    <row r="238" ht="27.75" hidden="1" customHeight="1">
      <c r="A238" s="37" t="s">
        <v>29</v>
      </c>
      <c r="B238" s="37">
        <v>34.0</v>
      </c>
      <c r="C238" s="37" t="s">
        <v>306</v>
      </c>
      <c r="D238" s="37" t="s">
        <v>252</v>
      </c>
      <c r="E238" s="38" t="s">
        <v>298</v>
      </c>
      <c r="F238" s="37">
        <v>237.0</v>
      </c>
      <c r="G238" s="37">
        <f t="array" ref="G238">XLOOKUP(USO_ZONA!$A238,MACROZONAS!B:B,MACROZONAS!A:A)</f>
        <v>6</v>
      </c>
      <c r="H238" s="37">
        <f t="array" ref="H238">XLOOKUP(USO_ZONA!$C238,USOS!H:H,USOS!G:G)</f>
        <v>34</v>
      </c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</row>
    <row r="239" ht="27.75" hidden="1" customHeight="1">
      <c r="A239" s="39" t="s">
        <v>43</v>
      </c>
      <c r="B239" s="39">
        <v>34.0</v>
      </c>
      <c r="C239" s="39" t="s">
        <v>306</v>
      </c>
      <c r="D239" s="39" t="s">
        <v>252</v>
      </c>
      <c r="E239" s="40" t="s">
        <v>298</v>
      </c>
      <c r="F239" s="39">
        <v>238.0</v>
      </c>
      <c r="G239" s="39">
        <f t="array" ref="G239">XLOOKUP(USO_ZONA!$A239,MACROZONAS!B:B,MACROZONAS!A:A)</f>
        <v>7</v>
      </c>
      <c r="H239" s="39">
        <f t="array" ref="H239">XLOOKUP(USO_ZONA!$C239,USOS!H:H,USOS!G:G)</f>
        <v>34</v>
      </c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</row>
    <row r="240" ht="27.75" hidden="1" customHeight="1">
      <c r="A240" s="37" t="s">
        <v>33</v>
      </c>
      <c r="B240" s="37">
        <v>35.0</v>
      </c>
      <c r="C240" s="37" t="s">
        <v>307</v>
      </c>
      <c r="D240" s="37" t="s">
        <v>248</v>
      </c>
      <c r="E240" s="38" t="s">
        <v>286</v>
      </c>
      <c r="F240" s="37">
        <v>239.0</v>
      </c>
      <c r="G240" s="37">
        <f t="array" ref="G240">XLOOKUP(USO_ZONA!$A240,MACROZONAS!B:B,MACROZONAS!A:A)</f>
        <v>1</v>
      </c>
      <c r="H240" s="37">
        <f t="array" ref="H240">XLOOKUP(USO_ZONA!$C240,USOS!H:H,USOS!G:G)</f>
        <v>35</v>
      </c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</row>
    <row r="241" ht="27.75" hidden="1" customHeight="1">
      <c r="A241" s="39" t="s">
        <v>28</v>
      </c>
      <c r="B241" s="39">
        <v>35.0</v>
      </c>
      <c r="C241" s="39" t="s">
        <v>307</v>
      </c>
      <c r="D241" s="39" t="s">
        <v>248</v>
      </c>
      <c r="E241" s="40" t="s">
        <v>286</v>
      </c>
      <c r="F241" s="39">
        <v>240.0</v>
      </c>
      <c r="G241" s="39">
        <f t="array" ref="G241">XLOOKUP(USO_ZONA!$A241,MACROZONAS!B:B,MACROZONAS!A:A)</f>
        <v>2</v>
      </c>
      <c r="H241" s="39">
        <f t="array" ref="H241">XLOOKUP(USO_ZONA!$C241,USOS!H:H,USOS!G:G)</f>
        <v>35</v>
      </c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</row>
    <row r="242" ht="27.75" hidden="1" customHeight="1">
      <c r="A242" s="37" t="s">
        <v>42</v>
      </c>
      <c r="B242" s="37">
        <v>35.0</v>
      </c>
      <c r="C242" s="37" t="s">
        <v>307</v>
      </c>
      <c r="D242" s="37" t="s">
        <v>248</v>
      </c>
      <c r="E242" s="38" t="s">
        <v>286</v>
      </c>
      <c r="F242" s="37">
        <v>241.0</v>
      </c>
      <c r="G242" s="37">
        <f t="array" ref="G242">XLOOKUP(USO_ZONA!$A242,MACROZONAS!B:B,MACROZONAS!A:A)</f>
        <v>3</v>
      </c>
      <c r="H242" s="37">
        <f t="array" ref="H242">XLOOKUP(USO_ZONA!$C242,USOS!H:H,USOS!G:G)</f>
        <v>35</v>
      </c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</row>
    <row r="243" ht="27.75" hidden="1" customHeight="1">
      <c r="A243" s="39" t="s">
        <v>18</v>
      </c>
      <c r="B243" s="39">
        <v>35.0</v>
      </c>
      <c r="C243" s="39" t="s">
        <v>307</v>
      </c>
      <c r="D243" s="39" t="s">
        <v>248</v>
      </c>
      <c r="E243" s="40" t="s">
        <v>272</v>
      </c>
      <c r="F243" s="39">
        <v>242.0</v>
      </c>
      <c r="G243" s="39">
        <f t="array" ref="G243">XLOOKUP(USO_ZONA!$A243,MACROZONAS!B:B,MACROZONAS!A:A)</f>
        <v>4</v>
      </c>
      <c r="H243" s="39">
        <f t="array" ref="H243">XLOOKUP(USO_ZONA!$C243,USOS!H:H,USOS!G:G)</f>
        <v>35</v>
      </c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</row>
    <row r="244" ht="27.75" hidden="1" customHeight="1">
      <c r="A244" s="37" t="s">
        <v>39</v>
      </c>
      <c r="B244" s="37">
        <v>35.0</v>
      </c>
      <c r="C244" s="37" t="s">
        <v>307</v>
      </c>
      <c r="D244" s="37" t="s">
        <v>251</v>
      </c>
      <c r="E244" s="37"/>
      <c r="F244" s="37">
        <v>243.0</v>
      </c>
      <c r="G244" s="37">
        <f t="array" ref="G244">XLOOKUP(USO_ZONA!$A244,MACROZONAS!B:B,MACROZONAS!A:A)</f>
        <v>5</v>
      </c>
      <c r="H244" s="37">
        <f t="array" ref="H244">XLOOKUP(USO_ZONA!$C244,USOS!H:H,USOS!G:G)</f>
        <v>35</v>
      </c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</row>
    <row r="245" ht="27.75" hidden="1" customHeight="1">
      <c r="A245" s="39" t="s">
        <v>29</v>
      </c>
      <c r="B245" s="39">
        <v>35.0</v>
      </c>
      <c r="C245" s="39" t="s">
        <v>307</v>
      </c>
      <c r="D245" s="39" t="s">
        <v>252</v>
      </c>
      <c r="E245" s="40" t="s">
        <v>298</v>
      </c>
      <c r="F245" s="39">
        <v>244.0</v>
      </c>
      <c r="G245" s="39">
        <f t="array" ref="G245">XLOOKUP(USO_ZONA!$A245,MACROZONAS!B:B,MACROZONAS!A:A)</f>
        <v>6</v>
      </c>
      <c r="H245" s="39">
        <f t="array" ref="H245">XLOOKUP(USO_ZONA!$C245,USOS!H:H,USOS!G:G)</f>
        <v>35</v>
      </c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</row>
    <row r="246" ht="27.75" hidden="1" customHeight="1">
      <c r="A246" s="37" t="s">
        <v>43</v>
      </c>
      <c r="B246" s="37">
        <v>35.0</v>
      </c>
      <c r="C246" s="37" t="s">
        <v>307</v>
      </c>
      <c r="D246" s="37" t="s">
        <v>252</v>
      </c>
      <c r="E246" s="38" t="s">
        <v>298</v>
      </c>
      <c r="F246" s="37">
        <v>245.0</v>
      </c>
      <c r="G246" s="37">
        <f t="array" ref="G246">XLOOKUP(USO_ZONA!$A246,MACROZONAS!B:B,MACROZONAS!A:A)</f>
        <v>7</v>
      </c>
      <c r="H246" s="37">
        <f t="array" ref="H246">XLOOKUP(USO_ZONA!$C246,USOS!H:H,USOS!G:G)</f>
        <v>35</v>
      </c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</row>
    <row r="247" ht="27.75" hidden="1" customHeight="1">
      <c r="A247" s="39" t="s">
        <v>33</v>
      </c>
      <c r="B247" s="39">
        <v>36.0</v>
      </c>
      <c r="C247" s="39" t="s">
        <v>308</v>
      </c>
      <c r="D247" s="39" t="s">
        <v>248</v>
      </c>
      <c r="E247" s="40" t="s">
        <v>278</v>
      </c>
      <c r="F247" s="39">
        <v>246.0</v>
      </c>
      <c r="G247" s="39">
        <f t="array" ref="G247">XLOOKUP(USO_ZONA!$A247,MACROZONAS!B:B,MACROZONAS!A:A)</f>
        <v>1</v>
      </c>
      <c r="H247" s="39">
        <f t="array" ref="H247">XLOOKUP(USO_ZONA!$C247,USOS!H:H,USOS!G:G)</f>
        <v>36</v>
      </c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</row>
    <row r="248" ht="27.75" hidden="1" customHeight="1">
      <c r="A248" s="37" t="s">
        <v>28</v>
      </c>
      <c r="B248" s="37">
        <v>36.0</v>
      </c>
      <c r="C248" s="37" t="s">
        <v>308</v>
      </c>
      <c r="D248" s="37" t="s">
        <v>248</v>
      </c>
      <c r="E248" s="38" t="s">
        <v>278</v>
      </c>
      <c r="F248" s="37">
        <v>247.0</v>
      </c>
      <c r="G248" s="37">
        <f t="array" ref="G248">XLOOKUP(USO_ZONA!$A248,MACROZONAS!B:B,MACROZONAS!A:A)</f>
        <v>2</v>
      </c>
      <c r="H248" s="37">
        <f t="array" ref="H248">XLOOKUP(USO_ZONA!$C248,USOS!H:H,USOS!G:G)</f>
        <v>36</v>
      </c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</row>
    <row r="249" ht="27.75" hidden="1" customHeight="1">
      <c r="A249" s="39" t="s">
        <v>42</v>
      </c>
      <c r="B249" s="39">
        <v>36.0</v>
      </c>
      <c r="C249" s="39" t="s">
        <v>308</v>
      </c>
      <c r="D249" s="39" t="s">
        <v>248</v>
      </c>
      <c r="E249" s="40" t="s">
        <v>278</v>
      </c>
      <c r="F249" s="39">
        <v>248.0</v>
      </c>
      <c r="G249" s="39">
        <f t="array" ref="G249">XLOOKUP(USO_ZONA!$A249,MACROZONAS!B:B,MACROZONAS!A:A)</f>
        <v>3</v>
      </c>
      <c r="H249" s="39">
        <f t="array" ref="H249">XLOOKUP(USO_ZONA!$C249,USOS!H:H,USOS!G:G)</f>
        <v>36</v>
      </c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</row>
    <row r="250" ht="27.75" hidden="1" customHeight="1">
      <c r="A250" s="37" t="s">
        <v>18</v>
      </c>
      <c r="B250" s="37">
        <v>36.0</v>
      </c>
      <c r="C250" s="37" t="s">
        <v>308</v>
      </c>
      <c r="D250" s="37" t="s">
        <v>248</v>
      </c>
      <c r="E250" s="38" t="s">
        <v>272</v>
      </c>
      <c r="F250" s="37">
        <v>249.0</v>
      </c>
      <c r="G250" s="37">
        <f t="array" ref="G250">XLOOKUP(USO_ZONA!$A250,MACROZONAS!B:B,MACROZONAS!A:A)</f>
        <v>4</v>
      </c>
      <c r="H250" s="37">
        <f t="array" ref="H250">XLOOKUP(USO_ZONA!$C250,USOS!H:H,USOS!G:G)</f>
        <v>36</v>
      </c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</row>
    <row r="251" ht="27.75" hidden="1" customHeight="1">
      <c r="A251" s="39" t="s">
        <v>39</v>
      </c>
      <c r="B251" s="39">
        <v>36.0</v>
      </c>
      <c r="C251" s="39" t="s">
        <v>308</v>
      </c>
      <c r="D251" s="39" t="s">
        <v>251</v>
      </c>
      <c r="E251" s="39"/>
      <c r="F251" s="39">
        <v>250.0</v>
      </c>
      <c r="G251" s="39">
        <f t="array" ref="G251">XLOOKUP(USO_ZONA!$A251,MACROZONAS!B:B,MACROZONAS!A:A)</f>
        <v>5</v>
      </c>
      <c r="H251" s="39">
        <f t="array" ref="H251">XLOOKUP(USO_ZONA!$C251,USOS!H:H,USOS!G:G)</f>
        <v>36</v>
      </c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</row>
    <row r="252" ht="27.75" hidden="1" customHeight="1">
      <c r="A252" s="37" t="s">
        <v>29</v>
      </c>
      <c r="B252" s="37">
        <v>36.0</v>
      </c>
      <c r="C252" s="37" t="s">
        <v>308</v>
      </c>
      <c r="D252" s="37" t="s">
        <v>252</v>
      </c>
      <c r="E252" s="38" t="s">
        <v>298</v>
      </c>
      <c r="F252" s="37">
        <v>251.0</v>
      </c>
      <c r="G252" s="37">
        <f t="array" ref="G252">XLOOKUP(USO_ZONA!$A252,MACROZONAS!B:B,MACROZONAS!A:A)</f>
        <v>6</v>
      </c>
      <c r="H252" s="37">
        <f t="array" ref="H252">XLOOKUP(USO_ZONA!$C252,USOS!H:H,USOS!G:G)</f>
        <v>36</v>
      </c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</row>
    <row r="253" ht="27.75" hidden="1" customHeight="1">
      <c r="A253" s="39" t="s">
        <v>43</v>
      </c>
      <c r="B253" s="39">
        <v>36.0</v>
      </c>
      <c r="C253" s="39" t="s">
        <v>308</v>
      </c>
      <c r="D253" s="39" t="s">
        <v>252</v>
      </c>
      <c r="E253" s="40" t="s">
        <v>298</v>
      </c>
      <c r="F253" s="39">
        <v>252.0</v>
      </c>
      <c r="G253" s="39">
        <f t="array" ref="G253">XLOOKUP(USO_ZONA!$A253,MACROZONAS!B:B,MACROZONAS!A:A)</f>
        <v>7</v>
      </c>
      <c r="H253" s="39">
        <f t="array" ref="H253">XLOOKUP(USO_ZONA!$C253,USOS!H:H,USOS!G:G)</f>
        <v>36</v>
      </c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</row>
    <row r="254" ht="27.75" hidden="1" customHeight="1">
      <c r="A254" s="37" t="s">
        <v>33</v>
      </c>
      <c r="B254" s="37">
        <v>37.0</v>
      </c>
      <c r="C254" s="37" t="s">
        <v>309</v>
      </c>
      <c r="D254" s="37" t="s">
        <v>248</v>
      </c>
      <c r="E254" s="38" t="s">
        <v>286</v>
      </c>
      <c r="F254" s="37">
        <v>253.0</v>
      </c>
      <c r="G254" s="37">
        <f t="array" ref="G254">XLOOKUP(USO_ZONA!$A254,MACROZONAS!B:B,MACROZONAS!A:A)</f>
        <v>1</v>
      </c>
      <c r="H254" s="37">
        <f t="array" ref="H254">XLOOKUP(USO_ZONA!$C254,USOS!H:H,USOS!G:G)</f>
        <v>37</v>
      </c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</row>
    <row r="255" ht="27.75" hidden="1" customHeight="1">
      <c r="A255" s="39" t="s">
        <v>28</v>
      </c>
      <c r="B255" s="39">
        <v>37.0</v>
      </c>
      <c r="C255" s="39" t="s">
        <v>309</v>
      </c>
      <c r="D255" s="39" t="s">
        <v>248</v>
      </c>
      <c r="E255" s="40" t="s">
        <v>286</v>
      </c>
      <c r="F255" s="39">
        <v>254.0</v>
      </c>
      <c r="G255" s="39">
        <f t="array" ref="G255">XLOOKUP(USO_ZONA!$A255,MACROZONAS!B:B,MACROZONAS!A:A)</f>
        <v>2</v>
      </c>
      <c r="H255" s="39">
        <f t="array" ref="H255">XLOOKUP(USO_ZONA!$C255,USOS!H:H,USOS!G:G)</f>
        <v>37</v>
      </c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</row>
    <row r="256" ht="27.75" hidden="1" customHeight="1">
      <c r="A256" s="37" t="s">
        <v>42</v>
      </c>
      <c r="B256" s="37">
        <v>37.0</v>
      </c>
      <c r="C256" s="37" t="s">
        <v>309</v>
      </c>
      <c r="D256" s="37" t="s">
        <v>248</v>
      </c>
      <c r="E256" s="38" t="s">
        <v>286</v>
      </c>
      <c r="F256" s="37">
        <v>255.0</v>
      </c>
      <c r="G256" s="37">
        <f t="array" ref="G256">XLOOKUP(USO_ZONA!$A256,MACROZONAS!B:B,MACROZONAS!A:A)</f>
        <v>3</v>
      </c>
      <c r="H256" s="37">
        <f t="array" ref="H256">XLOOKUP(USO_ZONA!$C256,USOS!H:H,USOS!G:G)</f>
        <v>37</v>
      </c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</row>
    <row r="257" ht="27.75" hidden="1" customHeight="1">
      <c r="A257" s="39" t="s">
        <v>18</v>
      </c>
      <c r="B257" s="39">
        <v>37.0</v>
      </c>
      <c r="C257" s="39" t="s">
        <v>309</v>
      </c>
      <c r="D257" s="39" t="s">
        <v>248</v>
      </c>
      <c r="E257" s="40" t="s">
        <v>272</v>
      </c>
      <c r="F257" s="39">
        <v>256.0</v>
      </c>
      <c r="G257" s="39">
        <f t="array" ref="G257">XLOOKUP(USO_ZONA!$A257,MACROZONAS!B:B,MACROZONAS!A:A)</f>
        <v>4</v>
      </c>
      <c r="H257" s="39">
        <f t="array" ref="H257">XLOOKUP(USO_ZONA!$C257,USOS!H:H,USOS!G:G)</f>
        <v>37</v>
      </c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</row>
    <row r="258" ht="27.75" hidden="1" customHeight="1">
      <c r="A258" s="37" t="s">
        <v>39</v>
      </c>
      <c r="B258" s="37">
        <v>37.0</v>
      </c>
      <c r="C258" s="37" t="s">
        <v>309</v>
      </c>
      <c r="D258" s="37" t="s">
        <v>251</v>
      </c>
      <c r="E258" s="37"/>
      <c r="F258" s="37">
        <v>257.0</v>
      </c>
      <c r="G258" s="37">
        <f t="array" ref="G258">XLOOKUP(USO_ZONA!$A258,MACROZONAS!B:B,MACROZONAS!A:A)</f>
        <v>5</v>
      </c>
      <c r="H258" s="37">
        <f t="array" ref="H258">XLOOKUP(USO_ZONA!$C258,USOS!H:H,USOS!G:G)</f>
        <v>37</v>
      </c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</row>
    <row r="259" ht="27.75" hidden="1" customHeight="1">
      <c r="A259" s="39" t="s">
        <v>29</v>
      </c>
      <c r="B259" s="39">
        <v>37.0</v>
      </c>
      <c r="C259" s="39" t="s">
        <v>309</v>
      </c>
      <c r="D259" s="39" t="s">
        <v>252</v>
      </c>
      <c r="E259" s="40" t="s">
        <v>298</v>
      </c>
      <c r="F259" s="39">
        <v>258.0</v>
      </c>
      <c r="G259" s="39">
        <f t="array" ref="G259">XLOOKUP(USO_ZONA!$A259,MACROZONAS!B:B,MACROZONAS!A:A)</f>
        <v>6</v>
      </c>
      <c r="H259" s="39">
        <f t="array" ref="H259">XLOOKUP(USO_ZONA!$C259,USOS!H:H,USOS!G:G)</f>
        <v>37</v>
      </c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</row>
    <row r="260" ht="27.75" hidden="1" customHeight="1">
      <c r="A260" s="37" t="s">
        <v>43</v>
      </c>
      <c r="B260" s="37">
        <v>37.0</v>
      </c>
      <c r="C260" s="37" t="s">
        <v>309</v>
      </c>
      <c r="D260" s="37" t="s">
        <v>252</v>
      </c>
      <c r="E260" s="38" t="s">
        <v>298</v>
      </c>
      <c r="F260" s="37">
        <v>259.0</v>
      </c>
      <c r="G260" s="37">
        <f t="array" ref="G260">XLOOKUP(USO_ZONA!$A260,MACROZONAS!B:B,MACROZONAS!A:A)</f>
        <v>7</v>
      </c>
      <c r="H260" s="37">
        <f t="array" ref="H260">XLOOKUP(USO_ZONA!$C260,USOS!H:H,USOS!G:G)</f>
        <v>37</v>
      </c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</row>
    <row r="261" ht="27.75" hidden="1" customHeight="1">
      <c r="A261" s="39" t="s">
        <v>33</v>
      </c>
      <c r="B261" s="39">
        <v>38.0</v>
      </c>
      <c r="C261" s="39" t="s">
        <v>310</v>
      </c>
      <c r="D261" s="39" t="s">
        <v>248</v>
      </c>
      <c r="E261" s="40" t="s">
        <v>286</v>
      </c>
      <c r="F261" s="39">
        <v>260.0</v>
      </c>
      <c r="G261" s="39">
        <f t="array" ref="G261">XLOOKUP(USO_ZONA!$A261,MACROZONAS!B:B,MACROZONAS!A:A)</f>
        <v>1</v>
      </c>
      <c r="H261" s="39">
        <f t="array" ref="H261">XLOOKUP(USO_ZONA!$C261,USOS!H:H,USOS!G:G)</f>
        <v>38</v>
      </c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</row>
    <row r="262" ht="27.75" hidden="1" customHeight="1">
      <c r="A262" s="37" t="s">
        <v>28</v>
      </c>
      <c r="B262" s="37">
        <v>38.0</v>
      </c>
      <c r="C262" s="37" t="s">
        <v>310</v>
      </c>
      <c r="D262" s="37" t="s">
        <v>248</v>
      </c>
      <c r="E262" s="38" t="s">
        <v>286</v>
      </c>
      <c r="F262" s="37">
        <v>261.0</v>
      </c>
      <c r="G262" s="37">
        <f t="array" ref="G262">XLOOKUP(USO_ZONA!$A262,MACROZONAS!B:B,MACROZONAS!A:A)</f>
        <v>2</v>
      </c>
      <c r="H262" s="37">
        <f t="array" ref="H262">XLOOKUP(USO_ZONA!$C262,USOS!H:H,USOS!G:G)</f>
        <v>38</v>
      </c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</row>
    <row r="263" ht="27.75" hidden="1" customHeight="1">
      <c r="A263" s="39" t="s">
        <v>42</v>
      </c>
      <c r="B263" s="39">
        <v>38.0</v>
      </c>
      <c r="C263" s="39" t="s">
        <v>310</v>
      </c>
      <c r="D263" s="39" t="s">
        <v>248</v>
      </c>
      <c r="E263" s="40" t="s">
        <v>286</v>
      </c>
      <c r="F263" s="39">
        <v>262.0</v>
      </c>
      <c r="G263" s="39">
        <f t="array" ref="G263">XLOOKUP(USO_ZONA!$A263,MACROZONAS!B:B,MACROZONAS!A:A)</f>
        <v>3</v>
      </c>
      <c r="H263" s="39">
        <f t="array" ref="H263">XLOOKUP(USO_ZONA!$C263,USOS!H:H,USOS!G:G)</f>
        <v>38</v>
      </c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</row>
    <row r="264" ht="27.75" hidden="1" customHeight="1">
      <c r="A264" s="37" t="s">
        <v>18</v>
      </c>
      <c r="B264" s="37">
        <v>38.0</v>
      </c>
      <c r="C264" s="37" t="s">
        <v>310</v>
      </c>
      <c r="D264" s="37" t="s">
        <v>248</v>
      </c>
      <c r="E264" s="38" t="s">
        <v>272</v>
      </c>
      <c r="F264" s="37">
        <v>263.0</v>
      </c>
      <c r="G264" s="37">
        <f t="array" ref="G264">XLOOKUP(USO_ZONA!$A264,MACROZONAS!B:B,MACROZONAS!A:A)</f>
        <v>4</v>
      </c>
      <c r="H264" s="37">
        <f t="array" ref="H264">XLOOKUP(USO_ZONA!$C264,USOS!H:H,USOS!G:G)</f>
        <v>38</v>
      </c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</row>
    <row r="265" ht="27.75" hidden="1" customHeight="1">
      <c r="A265" s="39" t="s">
        <v>39</v>
      </c>
      <c r="B265" s="39">
        <v>38.0</v>
      </c>
      <c r="C265" s="39" t="s">
        <v>310</v>
      </c>
      <c r="D265" s="39" t="s">
        <v>251</v>
      </c>
      <c r="E265" s="39"/>
      <c r="F265" s="39">
        <v>264.0</v>
      </c>
      <c r="G265" s="39">
        <f t="array" ref="G265">XLOOKUP(USO_ZONA!$A265,MACROZONAS!B:B,MACROZONAS!A:A)</f>
        <v>5</v>
      </c>
      <c r="H265" s="39">
        <f t="array" ref="H265">XLOOKUP(USO_ZONA!$C265,USOS!H:H,USOS!G:G)</f>
        <v>38</v>
      </c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</row>
    <row r="266" ht="27.75" hidden="1" customHeight="1">
      <c r="A266" s="37" t="s">
        <v>29</v>
      </c>
      <c r="B266" s="37">
        <v>38.0</v>
      </c>
      <c r="C266" s="37" t="s">
        <v>310</v>
      </c>
      <c r="D266" s="37" t="s">
        <v>252</v>
      </c>
      <c r="E266" s="38" t="s">
        <v>298</v>
      </c>
      <c r="F266" s="37">
        <v>265.0</v>
      </c>
      <c r="G266" s="37">
        <f t="array" ref="G266">XLOOKUP(USO_ZONA!$A266,MACROZONAS!B:B,MACROZONAS!A:A)</f>
        <v>6</v>
      </c>
      <c r="H266" s="37">
        <f t="array" ref="H266">XLOOKUP(USO_ZONA!$C266,USOS!H:H,USOS!G:G)</f>
        <v>38</v>
      </c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</row>
    <row r="267" ht="27.75" hidden="1" customHeight="1">
      <c r="A267" s="39" t="s">
        <v>43</v>
      </c>
      <c r="B267" s="39">
        <v>38.0</v>
      </c>
      <c r="C267" s="39" t="s">
        <v>310</v>
      </c>
      <c r="D267" s="39" t="s">
        <v>252</v>
      </c>
      <c r="E267" s="40" t="s">
        <v>298</v>
      </c>
      <c r="F267" s="39">
        <v>266.0</v>
      </c>
      <c r="G267" s="39">
        <f t="array" ref="G267">XLOOKUP(USO_ZONA!$A267,MACROZONAS!B:B,MACROZONAS!A:A)</f>
        <v>7</v>
      </c>
      <c r="H267" s="39">
        <f t="array" ref="H267">XLOOKUP(USO_ZONA!$C267,USOS!H:H,USOS!G:G)</f>
        <v>38</v>
      </c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</row>
    <row r="268" ht="27.75" hidden="1" customHeight="1">
      <c r="A268" s="37" t="s">
        <v>33</v>
      </c>
      <c r="B268" s="37">
        <v>39.0</v>
      </c>
      <c r="C268" s="37" t="s">
        <v>311</v>
      </c>
      <c r="D268" s="37" t="s">
        <v>248</v>
      </c>
      <c r="E268" s="38" t="s">
        <v>312</v>
      </c>
      <c r="F268" s="37">
        <v>267.0</v>
      </c>
      <c r="G268" s="37">
        <f t="array" ref="G268">XLOOKUP(USO_ZONA!$A268,MACROZONAS!B:B,MACROZONAS!A:A)</f>
        <v>1</v>
      </c>
      <c r="H268" s="37">
        <f t="array" ref="H268">XLOOKUP(USO_ZONA!$C268,USOS!H:H,USOS!G:G)</f>
        <v>39</v>
      </c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</row>
    <row r="269" ht="27.75" hidden="1" customHeight="1">
      <c r="A269" s="39" t="s">
        <v>28</v>
      </c>
      <c r="B269" s="39">
        <v>39.0</v>
      </c>
      <c r="C269" s="39" t="s">
        <v>311</v>
      </c>
      <c r="D269" s="39" t="s">
        <v>248</v>
      </c>
      <c r="E269" s="40" t="s">
        <v>312</v>
      </c>
      <c r="F269" s="39">
        <v>268.0</v>
      </c>
      <c r="G269" s="39">
        <f t="array" ref="G269">XLOOKUP(USO_ZONA!$A269,MACROZONAS!B:B,MACROZONAS!A:A)</f>
        <v>2</v>
      </c>
      <c r="H269" s="39">
        <f t="array" ref="H269">XLOOKUP(USO_ZONA!$C269,USOS!H:H,USOS!G:G)</f>
        <v>39</v>
      </c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</row>
    <row r="270" ht="27.75" hidden="1" customHeight="1">
      <c r="A270" s="37" t="s">
        <v>42</v>
      </c>
      <c r="B270" s="37">
        <v>39.0</v>
      </c>
      <c r="C270" s="37" t="s">
        <v>311</v>
      </c>
      <c r="D270" s="37" t="s">
        <v>248</v>
      </c>
      <c r="E270" s="38" t="s">
        <v>312</v>
      </c>
      <c r="F270" s="37">
        <v>269.0</v>
      </c>
      <c r="G270" s="37">
        <f t="array" ref="G270">XLOOKUP(USO_ZONA!$A270,MACROZONAS!B:B,MACROZONAS!A:A)</f>
        <v>3</v>
      </c>
      <c r="H270" s="37">
        <f t="array" ref="H270">XLOOKUP(USO_ZONA!$C270,USOS!H:H,USOS!G:G)</f>
        <v>39</v>
      </c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</row>
    <row r="271" ht="27.75" hidden="1" customHeight="1">
      <c r="A271" s="39" t="s">
        <v>18</v>
      </c>
      <c r="B271" s="39">
        <v>39.0</v>
      </c>
      <c r="C271" s="39" t="s">
        <v>311</v>
      </c>
      <c r="D271" s="39" t="s">
        <v>252</v>
      </c>
      <c r="E271" s="40" t="s">
        <v>313</v>
      </c>
      <c r="F271" s="39">
        <v>270.0</v>
      </c>
      <c r="G271" s="39">
        <f t="array" ref="G271">XLOOKUP(USO_ZONA!$A271,MACROZONAS!B:B,MACROZONAS!A:A)</f>
        <v>4</v>
      </c>
      <c r="H271" s="39">
        <f t="array" ref="H271">XLOOKUP(USO_ZONA!$C271,USOS!H:H,USOS!G:G)</f>
        <v>39</v>
      </c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</row>
    <row r="272" ht="27.75" hidden="1" customHeight="1">
      <c r="A272" s="37" t="s">
        <v>39</v>
      </c>
      <c r="B272" s="37">
        <v>39.0</v>
      </c>
      <c r="C272" s="37" t="s">
        <v>311</v>
      </c>
      <c r="D272" s="37" t="s">
        <v>251</v>
      </c>
      <c r="E272" s="37"/>
      <c r="F272" s="37">
        <v>271.0</v>
      </c>
      <c r="G272" s="37">
        <f t="array" ref="G272">XLOOKUP(USO_ZONA!$A272,MACROZONAS!B:B,MACROZONAS!A:A)</f>
        <v>5</v>
      </c>
      <c r="H272" s="37">
        <f t="array" ref="H272">XLOOKUP(USO_ZONA!$C272,USOS!H:H,USOS!G:G)</f>
        <v>39</v>
      </c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</row>
    <row r="273" ht="27.75" hidden="1" customHeight="1">
      <c r="A273" s="39" t="s">
        <v>29</v>
      </c>
      <c r="B273" s="39">
        <v>39.0</v>
      </c>
      <c r="C273" s="39" t="s">
        <v>311</v>
      </c>
      <c r="D273" s="39" t="s">
        <v>251</v>
      </c>
      <c r="E273" s="39"/>
      <c r="F273" s="39">
        <v>272.0</v>
      </c>
      <c r="G273" s="39">
        <f t="array" ref="G273">XLOOKUP(USO_ZONA!$A273,MACROZONAS!B:B,MACROZONAS!A:A)</f>
        <v>6</v>
      </c>
      <c r="H273" s="39">
        <f t="array" ref="H273">XLOOKUP(USO_ZONA!$C273,USOS!H:H,USOS!G:G)</f>
        <v>39</v>
      </c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</row>
    <row r="274" ht="27.75" hidden="1" customHeight="1">
      <c r="A274" s="37" t="s">
        <v>43</v>
      </c>
      <c r="B274" s="37">
        <v>39.0</v>
      </c>
      <c r="C274" s="37" t="s">
        <v>311</v>
      </c>
      <c r="D274" s="37" t="s">
        <v>252</v>
      </c>
      <c r="E274" s="38" t="s">
        <v>314</v>
      </c>
      <c r="F274" s="37">
        <v>273.0</v>
      </c>
      <c r="G274" s="37">
        <f t="array" ref="G274">XLOOKUP(USO_ZONA!$A274,MACROZONAS!B:B,MACROZONAS!A:A)</f>
        <v>7</v>
      </c>
      <c r="H274" s="37">
        <f t="array" ref="H274">XLOOKUP(USO_ZONA!$C274,USOS!H:H,USOS!G:G)</f>
        <v>39</v>
      </c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</row>
    <row r="275" ht="27.75" hidden="1" customHeight="1">
      <c r="A275" s="39" t="s">
        <v>33</v>
      </c>
      <c r="B275" s="39">
        <v>40.0</v>
      </c>
      <c r="C275" s="39" t="s">
        <v>315</v>
      </c>
      <c r="D275" s="39" t="s">
        <v>248</v>
      </c>
      <c r="E275" s="40" t="s">
        <v>316</v>
      </c>
      <c r="F275" s="39">
        <v>274.0</v>
      </c>
      <c r="G275" s="39">
        <f t="array" ref="G275">XLOOKUP(USO_ZONA!$A275,MACROZONAS!B:B,MACROZONAS!A:A)</f>
        <v>1</v>
      </c>
      <c r="H275" s="39">
        <f t="array" ref="H275">XLOOKUP(USO_ZONA!$C275,USOS!H:H,USOS!G:G)</f>
        <v>40</v>
      </c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</row>
    <row r="276" ht="27.75" hidden="1" customHeight="1">
      <c r="A276" s="37" t="s">
        <v>28</v>
      </c>
      <c r="B276" s="37">
        <v>40.0</v>
      </c>
      <c r="C276" s="37" t="s">
        <v>315</v>
      </c>
      <c r="D276" s="37" t="s">
        <v>248</v>
      </c>
      <c r="E276" s="38" t="s">
        <v>316</v>
      </c>
      <c r="F276" s="37">
        <v>275.0</v>
      </c>
      <c r="G276" s="37">
        <f t="array" ref="G276">XLOOKUP(USO_ZONA!$A276,MACROZONAS!B:B,MACROZONAS!A:A)</f>
        <v>2</v>
      </c>
      <c r="H276" s="37">
        <f t="array" ref="H276">XLOOKUP(USO_ZONA!$C276,USOS!H:H,USOS!G:G)</f>
        <v>40</v>
      </c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</row>
    <row r="277" ht="27.75" hidden="1" customHeight="1">
      <c r="A277" s="39" t="s">
        <v>42</v>
      </c>
      <c r="B277" s="39">
        <v>40.0</v>
      </c>
      <c r="C277" s="39" t="s">
        <v>315</v>
      </c>
      <c r="D277" s="39" t="s">
        <v>248</v>
      </c>
      <c r="E277" s="40" t="s">
        <v>316</v>
      </c>
      <c r="F277" s="39">
        <v>276.0</v>
      </c>
      <c r="G277" s="39">
        <f t="array" ref="G277">XLOOKUP(USO_ZONA!$A277,MACROZONAS!B:B,MACROZONAS!A:A)</f>
        <v>3</v>
      </c>
      <c r="H277" s="39">
        <f t="array" ref="H277">XLOOKUP(USO_ZONA!$C277,USOS!H:H,USOS!G:G)</f>
        <v>40</v>
      </c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</row>
    <row r="278" ht="27.75" hidden="1" customHeight="1">
      <c r="A278" s="37" t="s">
        <v>18</v>
      </c>
      <c r="B278" s="37">
        <v>40.0</v>
      </c>
      <c r="C278" s="37" t="s">
        <v>315</v>
      </c>
      <c r="D278" s="37" t="s">
        <v>252</v>
      </c>
      <c r="E278" s="38" t="s">
        <v>313</v>
      </c>
      <c r="F278" s="37">
        <v>277.0</v>
      </c>
      <c r="G278" s="37">
        <f t="array" ref="G278">XLOOKUP(USO_ZONA!$A278,MACROZONAS!B:B,MACROZONAS!A:A)</f>
        <v>4</v>
      </c>
      <c r="H278" s="37">
        <f t="array" ref="H278">XLOOKUP(USO_ZONA!$C278,USOS!H:H,USOS!G:G)</f>
        <v>40</v>
      </c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</row>
    <row r="279" ht="27.75" hidden="1" customHeight="1">
      <c r="A279" s="39" t="s">
        <v>39</v>
      </c>
      <c r="B279" s="39">
        <v>40.0</v>
      </c>
      <c r="C279" s="39" t="s">
        <v>315</v>
      </c>
      <c r="D279" s="39" t="s">
        <v>251</v>
      </c>
      <c r="E279" s="39"/>
      <c r="F279" s="39">
        <v>278.0</v>
      </c>
      <c r="G279" s="39">
        <f t="array" ref="G279">XLOOKUP(USO_ZONA!$A279,MACROZONAS!B:B,MACROZONAS!A:A)</f>
        <v>5</v>
      </c>
      <c r="H279" s="39">
        <f t="array" ref="H279">XLOOKUP(USO_ZONA!$C279,USOS!H:H,USOS!G:G)</f>
        <v>40</v>
      </c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</row>
    <row r="280" ht="27.75" hidden="1" customHeight="1">
      <c r="A280" s="37" t="s">
        <v>29</v>
      </c>
      <c r="B280" s="37">
        <v>40.0</v>
      </c>
      <c r="C280" s="37" t="s">
        <v>315</v>
      </c>
      <c r="D280" s="37" t="s">
        <v>251</v>
      </c>
      <c r="E280" s="37"/>
      <c r="F280" s="37">
        <v>279.0</v>
      </c>
      <c r="G280" s="37">
        <f t="array" ref="G280">XLOOKUP(USO_ZONA!$A280,MACROZONAS!B:B,MACROZONAS!A:A)</f>
        <v>6</v>
      </c>
      <c r="H280" s="37">
        <f t="array" ref="H280">XLOOKUP(USO_ZONA!$C280,USOS!H:H,USOS!G:G)</f>
        <v>40</v>
      </c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</row>
    <row r="281" ht="27.75" hidden="1" customHeight="1">
      <c r="A281" s="39" t="s">
        <v>43</v>
      </c>
      <c r="B281" s="39">
        <v>40.0</v>
      </c>
      <c r="C281" s="39" t="s">
        <v>315</v>
      </c>
      <c r="D281" s="39" t="s">
        <v>252</v>
      </c>
      <c r="E281" s="40" t="s">
        <v>314</v>
      </c>
      <c r="F281" s="39">
        <v>280.0</v>
      </c>
      <c r="G281" s="39">
        <f t="array" ref="G281">XLOOKUP(USO_ZONA!$A281,MACROZONAS!B:B,MACROZONAS!A:A)</f>
        <v>7</v>
      </c>
      <c r="H281" s="39">
        <f t="array" ref="H281">XLOOKUP(USO_ZONA!$C281,USOS!H:H,USOS!G:G)</f>
        <v>40</v>
      </c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</row>
    <row r="282" ht="27.75" hidden="1" customHeight="1">
      <c r="A282" s="37" t="s">
        <v>33</v>
      </c>
      <c r="B282" s="37">
        <v>41.0</v>
      </c>
      <c r="C282" s="37" t="s">
        <v>317</v>
      </c>
      <c r="D282" s="37" t="s">
        <v>248</v>
      </c>
      <c r="E282" s="38" t="s">
        <v>316</v>
      </c>
      <c r="F282" s="37">
        <v>281.0</v>
      </c>
      <c r="G282" s="37">
        <f t="array" ref="G282">XLOOKUP(USO_ZONA!$A282,MACROZONAS!B:B,MACROZONAS!A:A)</f>
        <v>1</v>
      </c>
      <c r="H282" s="37">
        <f t="array" ref="H282">XLOOKUP(USO_ZONA!$C282,USOS!H:H,USOS!G:G)</f>
        <v>41</v>
      </c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</row>
    <row r="283" ht="27.75" hidden="1" customHeight="1">
      <c r="A283" s="39" t="s">
        <v>28</v>
      </c>
      <c r="B283" s="39">
        <v>41.0</v>
      </c>
      <c r="C283" s="39" t="s">
        <v>317</v>
      </c>
      <c r="D283" s="39" t="s">
        <v>248</v>
      </c>
      <c r="E283" s="40" t="s">
        <v>316</v>
      </c>
      <c r="F283" s="39">
        <v>282.0</v>
      </c>
      <c r="G283" s="39">
        <f t="array" ref="G283">XLOOKUP(USO_ZONA!$A283,MACROZONAS!B:B,MACROZONAS!A:A)</f>
        <v>2</v>
      </c>
      <c r="H283" s="39">
        <f t="array" ref="H283">XLOOKUP(USO_ZONA!$C283,USOS!H:H,USOS!G:G)</f>
        <v>41</v>
      </c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</row>
    <row r="284" ht="27.75" hidden="1" customHeight="1">
      <c r="A284" s="37" t="s">
        <v>42</v>
      </c>
      <c r="B284" s="37">
        <v>41.0</v>
      </c>
      <c r="C284" s="37" t="s">
        <v>317</v>
      </c>
      <c r="D284" s="37" t="s">
        <v>248</v>
      </c>
      <c r="E284" s="38" t="s">
        <v>316</v>
      </c>
      <c r="F284" s="37">
        <v>283.0</v>
      </c>
      <c r="G284" s="37">
        <f t="array" ref="G284">XLOOKUP(USO_ZONA!$A284,MACROZONAS!B:B,MACROZONAS!A:A)</f>
        <v>3</v>
      </c>
      <c r="H284" s="37">
        <f t="array" ref="H284">XLOOKUP(USO_ZONA!$C284,USOS!H:H,USOS!G:G)</f>
        <v>41</v>
      </c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</row>
    <row r="285" ht="27.75" hidden="1" customHeight="1">
      <c r="A285" s="39" t="s">
        <v>18</v>
      </c>
      <c r="B285" s="39">
        <v>41.0</v>
      </c>
      <c r="C285" s="39" t="s">
        <v>317</v>
      </c>
      <c r="D285" s="39" t="s">
        <v>252</v>
      </c>
      <c r="E285" s="40" t="s">
        <v>313</v>
      </c>
      <c r="F285" s="39">
        <v>284.0</v>
      </c>
      <c r="G285" s="39">
        <f t="array" ref="G285">XLOOKUP(USO_ZONA!$A285,MACROZONAS!B:B,MACROZONAS!A:A)</f>
        <v>4</v>
      </c>
      <c r="H285" s="39">
        <f t="array" ref="H285">XLOOKUP(USO_ZONA!$C285,USOS!H:H,USOS!G:G)</f>
        <v>41</v>
      </c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</row>
    <row r="286" ht="27.75" hidden="1" customHeight="1">
      <c r="A286" s="37" t="s">
        <v>39</v>
      </c>
      <c r="B286" s="37">
        <v>41.0</v>
      </c>
      <c r="C286" s="37" t="s">
        <v>317</v>
      </c>
      <c r="D286" s="37" t="s">
        <v>251</v>
      </c>
      <c r="E286" s="37"/>
      <c r="F286" s="37">
        <v>285.0</v>
      </c>
      <c r="G286" s="37">
        <f t="array" ref="G286">XLOOKUP(USO_ZONA!$A286,MACROZONAS!B:B,MACROZONAS!A:A)</f>
        <v>5</v>
      </c>
      <c r="H286" s="37">
        <f t="array" ref="H286">XLOOKUP(USO_ZONA!$C286,USOS!H:H,USOS!G:G)</f>
        <v>41</v>
      </c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</row>
    <row r="287" ht="27.75" hidden="1" customHeight="1">
      <c r="A287" s="39" t="s">
        <v>29</v>
      </c>
      <c r="B287" s="39">
        <v>41.0</v>
      </c>
      <c r="C287" s="39" t="s">
        <v>317</v>
      </c>
      <c r="D287" s="39" t="s">
        <v>251</v>
      </c>
      <c r="E287" s="39"/>
      <c r="F287" s="39">
        <v>286.0</v>
      </c>
      <c r="G287" s="39">
        <f t="array" ref="G287">XLOOKUP(USO_ZONA!$A287,MACROZONAS!B:B,MACROZONAS!A:A)</f>
        <v>6</v>
      </c>
      <c r="H287" s="39">
        <f t="array" ref="H287">XLOOKUP(USO_ZONA!$C287,USOS!H:H,USOS!G:G)</f>
        <v>41</v>
      </c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</row>
    <row r="288" ht="27.75" hidden="1" customHeight="1">
      <c r="A288" s="37" t="s">
        <v>43</v>
      </c>
      <c r="B288" s="37">
        <v>41.0</v>
      </c>
      <c r="C288" s="37" t="s">
        <v>317</v>
      </c>
      <c r="D288" s="37" t="s">
        <v>252</v>
      </c>
      <c r="E288" s="38" t="s">
        <v>314</v>
      </c>
      <c r="F288" s="37">
        <v>287.0</v>
      </c>
      <c r="G288" s="37">
        <f t="array" ref="G288">XLOOKUP(USO_ZONA!$A288,MACROZONAS!B:B,MACROZONAS!A:A)</f>
        <v>7</v>
      </c>
      <c r="H288" s="37">
        <f t="array" ref="H288">XLOOKUP(USO_ZONA!$C288,USOS!H:H,USOS!G:G)</f>
        <v>41</v>
      </c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</row>
    <row r="289" ht="27.75" hidden="1" customHeight="1">
      <c r="A289" s="39" t="s">
        <v>33</v>
      </c>
      <c r="B289" s="39">
        <v>44.0</v>
      </c>
      <c r="C289" s="39" t="s">
        <v>318</v>
      </c>
      <c r="D289" s="39" t="s">
        <v>251</v>
      </c>
      <c r="E289" s="40" t="s">
        <v>319</v>
      </c>
      <c r="F289" s="39">
        <v>288.0</v>
      </c>
      <c r="G289" s="39">
        <f t="array" ref="G289">XLOOKUP(USO_ZONA!$A289,MACROZONAS!B:B,MACROZONAS!A:A)</f>
        <v>1</v>
      </c>
      <c r="H289" s="39">
        <f t="array" ref="H289">XLOOKUP(USO_ZONA!$C289,USOS!H:H,USOS!G:G)</f>
        <v>44</v>
      </c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</row>
    <row r="290" ht="27.75" hidden="1" customHeight="1">
      <c r="A290" s="37" t="s">
        <v>28</v>
      </c>
      <c r="B290" s="37">
        <v>44.0</v>
      </c>
      <c r="C290" s="37" t="s">
        <v>318</v>
      </c>
      <c r="D290" s="37" t="s">
        <v>251</v>
      </c>
      <c r="E290" s="38" t="s">
        <v>319</v>
      </c>
      <c r="F290" s="37">
        <v>289.0</v>
      </c>
      <c r="G290" s="37">
        <f t="array" ref="G290">XLOOKUP(USO_ZONA!$A290,MACROZONAS!B:B,MACROZONAS!A:A)</f>
        <v>2</v>
      </c>
      <c r="H290" s="37">
        <f t="array" ref="H290">XLOOKUP(USO_ZONA!$C290,USOS!H:H,USOS!G:G)</f>
        <v>44</v>
      </c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</row>
    <row r="291" ht="27.75" hidden="1" customHeight="1">
      <c r="A291" s="39" t="s">
        <v>42</v>
      </c>
      <c r="B291" s="39">
        <v>44.0</v>
      </c>
      <c r="C291" s="39" t="s">
        <v>318</v>
      </c>
      <c r="D291" s="39" t="s">
        <v>251</v>
      </c>
      <c r="E291" s="40" t="s">
        <v>319</v>
      </c>
      <c r="F291" s="39">
        <v>290.0</v>
      </c>
      <c r="G291" s="39">
        <f t="array" ref="G291">XLOOKUP(USO_ZONA!$A291,MACROZONAS!B:B,MACROZONAS!A:A)</f>
        <v>3</v>
      </c>
      <c r="H291" s="39">
        <f t="array" ref="H291">XLOOKUP(USO_ZONA!$C291,USOS!H:H,USOS!G:G)</f>
        <v>44</v>
      </c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</row>
    <row r="292" ht="27.75" hidden="1" customHeight="1">
      <c r="A292" s="37" t="s">
        <v>18</v>
      </c>
      <c r="B292" s="37">
        <v>44.0</v>
      </c>
      <c r="C292" s="37" t="s">
        <v>318</v>
      </c>
      <c r="D292" s="37" t="s">
        <v>251</v>
      </c>
      <c r="E292" s="38" t="s">
        <v>319</v>
      </c>
      <c r="F292" s="37">
        <v>291.0</v>
      </c>
      <c r="G292" s="37">
        <f t="array" ref="G292">XLOOKUP(USO_ZONA!$A292,MACROZONAS!B:B,MACROZONAS!A:A)</f>
        <v>4</v>
      </c>
      <c r="H292" s="37">
        <f t="array" ref="H292">XLOOKUP(USO_ZONA!$C292,USOS!H:H,USOS!G:G)</f>
        <v>44</v>
      </c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</row>
    <row r="293" ht="27.75" hidden="1" customHeight="1">
      <c r="A293" s="39" t="s">
        <v>39</v>
      </c>
      <c r="B293" s="39">
        <v>44.0</v>
      </c>
      <c r="C293" s="39" t="s">
        <v>318</v>
      </c>
      <c r="D293" s="39" t="s">
        <v>251</v>
      </c>
      <c r="E293" s="40" t="s">
        <v>319</v>
      </c>
      <c r="F293" s="39">
        <v>292.0</v>
      </c>
      <c r="G293" s="39">
        <f t="array" ref="G293">XLOOKUP(USO_ZONA!$A293,MACROZONAS!B:B,MACROZONAS!A:A)</f>
        <v>5</v>
      </c>
      <c r="H293" s="39">
        <f t="array" ref="H293">XLOOKUP(USO_ZONA!$C293,USOS!H:H,USOS!G:G)</f>
        <v>44</v>
      </c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</row>
    <row r="294" ht="27.75" hidden="1" customHeight="1">
      <c r="A294" s="37" t="s">
        <v>29</v>
      </c>
      <c r="B294" s="37">
        <v>44.0</v>
      </c>
      <c r="C294" s="37" t="s">
        <v>318</v>
      </c>
      <c r="D294" s="37" t="s">
        <v>252</v>
      </c>
      <c r="E294" s="38" t="s">
        <v>320</v>
      </c>
      <c r="F294" s="37">
        <v>293.0</v>
      </c>
      <c r="G294" s="37">
        <f t="array" ref="G294">XLOOKUP(USO_ZONA!$A294,MACROZONAS!B:B,MACROZONAS!A:A)</f>
        <v>6</v>
      </c>
      <c r="H294" s="37">
        <f t="array" ref="H294">XLOOKUP(USO_ZONA!$C294,USOS!H:H,USOS!G:G)</f>
        <v>44</v>
      </c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</row>
    <row r="295" ht="27.75" hidden="1" customHeight="1">
      <c r="A295" s="39" t="s">
        <v>43</v>
      </c>
      <c r="B295" s="39">
        <v>44.0</v>
      </c>
      <c r="C295" s="39" t="s">
        <v>318</v>
      </c>
      <c r="D295" s="39" t="s">
        <v>248</v>
      </c>
      <c r="E295" s="39"/>
      <c r="F295" s="39">
        <v>294.0</v>
      </c>
      <c r="G295" s="39">
        <f t="array" ref="G295">XLOOKUP(USO_ZONA!$A295,MACROZONAS!B:B,MACROZONAS!A:A)</f>
        <v>7</v>
      </c>
      <c r="H295" s="39">
        <f t="array" ref="H295">XLOOKUP(USO_ZONA!$C295,USOS!H:H,USOS!G:G)</f>
        <v>44</v>
      </c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</row>
    <row r="296" ht="27.75" hidden="1" customHeight="1">
      <c r="A296" s="37" t="s">
        <v>33</v>
      </c>
      <c r="B296" s="37">
        <v>47.0</v>
      </c>
      <c r="C296" s="37" t="s">
        <v>321</v>
      </c>
      <c r="D296" s="37" t="s">
        <v>251</v>
      </c>
      <c r="E296" s="37"/>
      <c r="F296" s="37">
        <v>295.0</v>
      </c>
      <c r="G296" s="37">
        <f t="array" ref="G296">XLOOKUP(USO_ZONA!$A296,MACROZONAS!B:B,MACROZONAS!A:A)</f>
        <v>1</v>
      </c>
      <c r="H296" s="37">
        <f t="array" ref="H296">XLOOKUP(USO_ZONA!$C296,USOS!H:H,USOS!G:G)</f>
        <v>47</v>
      </c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</row>
    <row r="297" ht="27.75" hidden="1" customHeight="1">
      <c r="A297" s="39" t="s">
        <v>28</v>
      </c>
      <c r="B297" s="39">
        <v>47.0</v>
      </c>
      <c r="C297" s="39" t="s">
        <v>321</v>
      </c>
      <c r="D297" s="39" t="s">
        <v>251</v>
      </c>
      <c r="E297" s="39"/>
      <c r="F297" s="39">
        <v>296.0</v>
      </c>
      <c r="G297" s="39">
        <f t="array" ref="G297">XLOOKUP(USO_ZONA!$A297,MACROZONAS!B:B,MACROZONAS!A:A)</f>
        <v>2</v>
      </c>
      <c r="H297" s="39">
        <f t="array" ref="H297">XLOOKUP(USO_ZONA!$C297,USOS!H:H,USOS!G:G)</f>
        <v>47</v>
      </c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</row>
    <row r="298" ht="27.75" hidden="1" customHeight="1">
      <c r="A298" s="37" t="s">
        <v>42</v>
      </c>
      <c r="B298" s="37">
        <v>47.0</v>
      </c>
      <c r="C298" s="37" t="s">
        <v>321</v>
      </c>
      <c r="D298" s="37" t="s">
        <v>251</v>
      </c>
      <c r="E298" s="37"/>
      <c r="F298" s="37">
        <v>297.0</v>
      </c>
      <c r="G298" s="37">
        <f t="array" ref="G298">XLOOKUP(USO_ZONA!$A298,MACROZONAS!B:B,MACROZONAS!A:A)</f>
        <v>3</v>
      </c>
      <c r="H298" s="37">
        <f t="array" ref="H298">XLOOKUP(USO_ZONA!$C298,USOS!H:H,USOS!G:G)</f>
        <v>47</v>
      </c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</row>
    <row r="299" ht="27.75" hidden="1" customHeight="1">
      <c r="A299" s="39" t="s">
        <v>18</v>
      </c>
      <c r="B299" s="39">
        <v>47.0</v>
      </c>
      <c r="C299" s="39" t="s">
        <v>321</v>
      </c>
      <c r="D299" s="39" t="s">
        <v>251</v>
      </c>
      <c r="E299" s="39"/>
      <c r="F299" s="39">
        <v>298.0</v>
      </c>
      <c r="G299" s="39">
        <f t="array" ref="G299">XLOOKUP(USO_ZONA!$A299,MACROZONAS!B:B,MACROZONAS!A:A)</f>
        <v>4</v>
      </c>
      <c r="H299" s="39">
        <f t="array" ref="H299">XLOOKUP(USO_ZONA!$C299,USOS!H:H,USOS!G:G)</f>
        <v>47</v>
      </c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</row>
    <row r="300" ht="27.75" hidden="1" customHeight="1">
      <c r="A300" s="37" t="s">
        <v>39</v>
      </c>
      <c r="B300" s="37">
        <v>47.0</v>
      </c>
      <c r="C300" s="37" t="s">
        <v>321</v>
      </c>
      <c r="D300" s="37" t="s">
        <v>251</v>
      </c>
      <c r="E300" s="37"/>
      <c r="F300" s="37">
        <v>299.0</v>
      </c>
      <c r="G300" s="37">
        <f t="array" ref="G300">XLOOKUP(USO_ZONA!$A300,MACROZONAS!B:B,MACROZONAS!A:A)</f>
        <v>5</v>
      </c>
      <c r="H300" s="37">
        <f t="array" ref="H300">XLOOKUP(USO_ZONA!$C300,USOS!H:H,USOS!G:G)</f>
        <v>47</v>
      </c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</row>
    <row r="301" ht="27.75" hidden="1" customHeight="1">
      <c r="A301" s="39" t="s">
        <v>29</v>
      </c>
      <c r="B301" s="39">
        <v>47.0</v>
      </c>
      <c r="C301" s="39" t="s">
        <v>321</v>
      </c>
      <c r="D301" s="39" t="s">
        <v>252</v>
      </c>
      <c r="E301" s="40" t="s">
        <v>320</v>
      </c>
      <c r="F301" s="39">
        <v>300.0</v>
      </c>
      <c r="G301" s="39">
        <f t="array" ref="G301">XLOOKUP(USO_ZONA!$A301,MACROZONAS!B:B,MACROZONAS!A:A)</f>
        <v>6</v>
      </c>
      <c r="H301" s="39">
        <f t="array" ref="H301">XLOOKUP(USO_ZONA!$C301,USOS!H:H,USOS!G:G)</f>
        <v>47</v>
      </c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</row>
    <row r="302" ht="27.75" hidden="1" customHeight="1">
      <c r="A302" s="37" t="s">
        <v>43</v>
      </c>
      <c r="B302" s="37">
        <v>47.0</v>
      </c>
      <c r="C302" s="37" t="s">
        <v>321</v>
      </c>
      <c r="D302" s="37" t="s">
        <v>248</v>
      </c>
      <c r="E302" s="37"/>
      <c r="F302" s="37">
        <v>301.0</v>
      </c>
      <c r="G302" s="37">
        <f t="array" ref="G302">XLOOKUP(USO_ZONA!$A302,MACROZONAS!B:B,MACROZONAS!A:A)</f>
        <v>7</v>
      </c>
      <c r="H302" s="37">
        <f t="array" ref="H302">XLOOKUP(USO_ZONA!$C302,USOS!H:H,USOS!G:G)</f>
        <v>47</v>
      </c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</row>
    <row r="303" ht="27.75" hidden="1" customHeight="1">
      <c r="A303" s="39" t="s">
        <v>33</v>
      </c>
      <c r="B303" s="39">
        <v>50.0</v>
      </c>
      <c r="C303" s="39" t="s">
        <v>322</v>
      </c>
      <c r="D303" s="39" t="s">
        <v>251</v>
      </c>
      <c r="E303" s="40" t="s">
        <v>323</v>
      </c>
      <c r="F303" s="39">
        <v>302.0</v>
      </c>
      <c r="G303" s="39">
        <f t="array" ref="G303">XLOOKUP(USO_ZONA!$A303,MACROZONAS!B:B,MACROZONAS!A:A)</f>
        <v>1</v>
      </c>
      <c r="H303" s="39">
        <f t="array" ref="H303">XLOOKUP(USO_ZONA!$C303,USOS!H:H,USOS!G:G)</f>
        <v>50</v>
      </c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</row>
    <row r="304" ht="27.75" hidden="1" customHeight="1">
      <c r="A304" s="37" t="s">
        <v>28</v>
      </c>
      <c r="B304" s="37">
        <v>50.0</v>
      </c>
      <c r="C304" s="37" t="s">
        <v>322</v>
      </c>
      <c r="D304" s="37" t="s">
        <v>251</v>
      </c>
      <c r="E304" s="38" t="s">
        <v>323</v>
      </c>
      <c r="F304" s="37">
        <v>303.0</v>
      </c>
      <c r="G304" s="37">
        <f t="array" ref="G304">XLOOKUP(USO_ZONA!$A304,MACROZONAS!B:B,MACROZONAS!A:A)</f>
        <v>2</v>
      </c>
      <c r="H304" s="37">
        <f t="array" ref="H304">XLOOKUP(USO_ZONA!$C304,USOS!H:H,USOS!G:G)</f>
        <v>50</v>
      </c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</row>
    <row r="305" ht="27.75" hidden="1" customHeight="1">
      <c r="A305" s="39" t="s">
        <v>42</v>
      </c>
      <c r="B305" s="39">
        <v>50.0</v>
      </c>
      <c r="C305" s="39" t="s">
        <v>322</v>
      </c>
      <c r="D305" s="39" t="s">
        <v>251</v>
      </c>
      <c r="E305" s="40" t="s">
        <v>323</v>
      </c>
      <c r="F305" s="39">
        <v>304.0</v>
      </c>
      <c r="G305" s="39">
        <f t="array" ref="G305">XLOOKUP(USO_ZONA!$A305,MACROZONAS!B:B,MACROZONAS!A:A)</f>
        <v>3</v>
      </c>
      <c r="H305" s="39">
        <f t="array" ref="H305">XLOOKUP(USO_ZONA!$C305,USOS!H:H,USOS!G:G)</f>
        <v>50</v>
      </c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</row>
    <row r="306" ht="27.75" hidden="1" customHeight="1">
      <c r="A306" s="37" t="s">
        <v>18</v>
      </c>
      <c r="B306" s="37">
        <v>50.0</v>
      </c>
      <c r="C306" s="37" t="s">
        <v>322</v>
      </c>
      <c r="D306" s="37" t="s">
        <v>251</v>
      </c>
      <c r="E306" s="38" t="s">
        <v>324</v>
      </c>
      <c r="F306" s="37">
        <v>305.0</v>
      </c>
      <c r="G306" s="37">
        <f t="array" ref="G306">XLOOKUP(USO_ZONA!$A306,MACROZONAS!B:B,MACROZONAS!A:A)</f>
        <v>4</v>
      </c>
      <c r="H306" s="37">
        <f t="array" ref="H306">XLOOKUP(USO_ZONA!$C306,USOS!H:H,USOS!G:G)</f>
        <v>50</v>
      </c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</row>
    <row r="307" ht="27.75" hidden="1" customHeight="1">
      <c r="A307" s="39" t="s">
        <v>39</v>
      </c>
      <c r="B307" s="39">
        <v>50.0</v>
      </c>
      <c r="C307" s="39" t="s">
        <v>322</v>
      </c>
      <c r="D307" s="39" t="s">
        <v>251</v>
      </c>
      <c r="E307" s="40" t="s">
        <v>325</v>
      </c>
      <c r="F307" s="39">
        <v>306.0</v>
      </c>
      <c r="G307" s="39">
        <f t="array" ref="G307">XLOOKUP(USO_ZONA!$A307,MACROZONAS!B:B,MACROZONAS!A:A)</f>
        <v>5</v>
      </c>
      <c r="H307" s="39">
        <f t="array" ref="H307">XLOOKUP(USO_ZONA!$C307,USOS!H:H,USOS!G:G)</f>
        <v>50</v>
      </c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</row>
    <row r="308" ht="27.75" hidden="1" customHeight="1">
      <c r="A308" s="37" t="s">
        <v>29</v>
      </c>
      <c r="B308" s="37">
        <v>50.0</v>
      </c>
      <c r="C308" s="37" t="s">
        <v>322</v>
      </c>
      <c r="D308" s="37" t="s">
        <v>252</v>
      </c>
      <c r="E308" s="38" t="s">
        <v>320</v>
      </c>
      <c r="F308" s="37">
        <v>307.0</v>
      </c>
      <c r="G308" s="37">
        <f t="array" ref="G308">XLOOKUP(USO_ZONA!$A308,MACROZONAS!B:B,MACROZONAS!A:A)</f>
        <v>6</v>
      </c>
      <c r="H308" s="37">
        <f t="array" ref="H308">XLOOKUP(USO_ZONA!$C308,USOS!H:H,USOS!G:G)</f>
        <v>50</v>
      </c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</row>
    <row r="309" ht="27.75" hidden="1" customHeight="1">
      <c r="A309" s="39" t="s">
        <v>43</v>
      </c>
      <c r="B309" s="39">
        <v>50.0</v>
      </c>
      <c r="C309" s="39" t="s">
        <v>322</v>
      </c>
      <c r="D309" s="39" t="s">
        <v>248</v>
      </c>
      <c r="E309" s="39"/>
      <c r="F309" s="39">
        <v>308.0</v>
      </c>
      <c r="G309" s="39">
        <f t="array" ref="G309">XLOOKUP(USO_ZONA!$A309,MACROZONAS!B:B,MACROZONAS!A:A)</f>
        <v>7</v>
      </c>
      <c r="H309" s="39">
        <f t="array" ref="H309">XLOOKUP(USO_ZONA!$C309,USOS!H:H,USOS!G:G)</f>
        <v>50</v>
      </c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</row>
    <row r="310" ht="27.75" hidden="1" customHeight="1">
      <c r="A310" s="37" t="s">
        <v>33</v>
      </c>
      <c r="B310" s="37">
        <v>52.0</v>
      </c>
      <c r="C310" s="37" t="s">
        <v>326</v>
      </c>
      <c r="D310" s="37" t="s">
        <v>251</v>
      </c>
      <c r="E310" s="38" t="s">
        <v>327</v>
      </c>
      <c r="F310" s="37">
        <v>309.0</v>
      </c>
      <c r="G310" s="37">
        <f t="array" ref="G310">XLOOKUP(USO_ZONA!$A310,MACROZONAS!B:B,MACROZONAS!A:A)</f>
        <v>1</v>
      </c>
      <c r="H310" s="37">
        <f t="array" ref="H310">XLOOKUP(USO_ZONA!$C310,USOS!H:H,USOS!G:G)</f>
        <v>52</v>
      </c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</row>
    <row r="311" ht="27.75" hidden="1" customHeight="1">
      <c r="A311" s="39" t="s">
        <v>28</v>
      </c>
      <c r="B311" s="39">
        <v>52.0</v>
      </c>
      <c r="C311" s="39" t="s">
        <v>326</v>
      </c>
      <c r="D311" s="39" t="s">
        <v>251</v>
      </c>
      <c r="E311" s="40" t="s">
        <v>327</v>
      </c>
      <c r="F311" s="39">
        <v>310.0</v>
      </c>
      <c r="G311" s="39">
        <f t="array" ref="G311">XLOOKUP(USO_ZONA!$A311,MACROZONAS!B:B,MACROZONAS!A:A)</f>
        <v>2</v>
      </c>
      <c r="H311" s="39">
        <f t="array" ref="H311">XLOOKUP(USO_ZONA!$C311,USOS!H:H,USOS!G:G)</f>
        <v>52</v>
      </c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</row>
    <row r="312" ht="27.75" hidden="1" customHeight="1">
      <c r="A312" s="37" t="s">
        <v>42</v>
      </c>
      <c r="B312" s="37">
        <v>52.0</v>
      </c>
      <c r="C312" s="37" t="s">
        <v>326</v>
      </c>
      <c r="D312" s="37" t="s">
        <v>251</v>
      </c>
      <c r="E312" s="38" t="s">
        <v>327</v>
      </c>
      <c r="F312" s="37">
        <v>311.0</v>
      </c>
      <c r="G312" s="37">
        <f t="array" ref="G312">XLOOKUP(USO_ZONA!$A312,MACROZONAS!B:B,MACROZONAS!A:A)</f>
        <v>3</v>
      </c>
      <c r="H312" s="37">
        <f t="array" ref="H312">XLOOKUP(USO_ZONA!$C312,USOS!H:H,USOS!G:G)</f>
        <v>52</v>
      </c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</row>
    <row r="313" ht="27.75" hidden="1" customHeight="1">
      <c r="A313" s="39" t="s">
        <v>18</v>
      </c>
      <c r="B313" s="39">
        <v>52.0</v>
      </c>
      <c r="C313" s="39" t="s">
        <v>326</v>
      </c>
      <c r="D313" s="39" t="s">
        <v>251</v>
      </c>
      <c r="E313" s="40" t="s">
        <v>327</v>
      </c>
      <c r="F313" s="39">
        <v>312.0</v>
      </c>
      <c r="G313" s="39">
        <f t="array" ref="G313">XLOOKUP(USO_ZONA!$A313,MACROZONAS!B:B,MACROZONAS!A:A)</f>
        <v>4</v>
      </c>
      <c r="H313" s="39">
        <f t="array" ref="H313">XLOOKUP(USO_ZONA!$C313,USOS!H:H,USOS!G:G)</f>
        <v>52</v>
      </c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</row>
    <row r="314" ht="27.75" hidden="1" customHeight="1">
      <c r="A314" s="37" t="s">
        <v>39</v>
      </c>
      <c r="B314" s="37">
        <v>52.0</v>
      </c>
      <c r="C314" s="37" t="s">
        <v>326</v>
      </c>
      <c r="D314" s="37" t="s">
        <v>251</v>
      </c>
      <c r="E314" s="38" t="s">
        <v>327</v>
      </c>
      <c r="F314" s="37">
        <v>313.0</v>
      </c>
      <c r="G314" s="37">
        <f t="array" ref="G314">XLOOKUP(USO_ZONA!$A314,MACROZONAS!B:B,MACROZONAS!A:A)</f>
        <v>5</v>
      </c>
      <c r="H314" s="37">
        <f t="array" ref="H314">XLOOKUP(USO_ZONA!$C314,USOS!H:H,USOS!G:G)</f>
        <v>52</v>
      </c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</row>
    <row r="315" ht="27.75" hidden="1" customHeight="1">
      <c r="A315" s="39" t="s">
        <v>29</v>
      </c>
      <c r="B315" s="39">
        <v>52.0</v>
      </c>
      <c r="C315" s="39" t="s">
        <v>326</v>
      </c>
      <c r="D315" s="39" t="s">
        <v>252</v>
      </c>
      <c r="E315" s="40" t="s">
        <v>328</v>
      </c>
      <c r="F315" s="39">
        <v>314.0</v>
      </c>
      <c r="G315" s="39">
        <f t="array" ref="G315">XLOOKUP(USO_ZONA!$A315,MACROZONAS!B:B,MACROZONAS!A:A)</f>
        <v>6</v>
      </c>
      <c r="H315" s="39">
        <f t="array" ref="H315">XLOOKUP(USO_ZONA!$C315,USOS!H:H,USOS!G:G)</f>
        <v>52</v>
      </c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</row>
    <row r="316" ht="27.75" hidden="1" customHeight="1">
      <c r="A316" s="37" t="s">
        <v>43</v>
      </c>
      <c r="B316" s="37">
        <v>52.0</v>
      </c>
      <c r="C316" s="37" t="s">
        <v>326</v>
      </c>
      <c r="D316" s="37" t="s">
        <v>252</v>
      </c>
      <c r="E316" s="38" t="s">
        <v>328</v>
      </c>
      <c r="F316" s="37">
        <v>315.0</v>
      </c>
      <c r="G316" s="37">
        <f t="array" ref="G316">XLOOKUP(USO_ZONA!$A316,MACROZONAS!B:B,MACROZONAS!A:A)</f>
        <v>7</v>
      </c>
      <c r="H316" s="37">
        <f t="array" ref="H316">XLOOKUP(USO_ZONA!$C316,USOS!H:H,USOS!G:G)</f>
        <v>52</v>
      </c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</row>
    <row r="317" ht="27.75" hidden="1" customHeight="1">
      <c r="A317" s="39" t="s">
        <v>33</v>
      </c>
      <c r="B317" s="39">
        <v>55.0</v>
      </c>
      <c r="C317" s="39" t="s">
        <v>329</v>
      </c>
      <c r="D317" s="39" t="s">
        <v>251</v>
      </c>
      <c r="E317" s="40" t="s">
        <v>327</v>
      </c>
      <c r="F317" s="39">
        <v>316.0</v>
      </c>
      <c r="G317" s="39">
        <f t="array" ref="G317">XLOOKUP(USO_ZONA!$A317,MACROZONAS!B:B,MACROZONAS!A:A)</f>
        <v>1</v>
      </c>
      <c r="H317" s="39">
        <f t="array" ref="H317">XLOOKUP(USO_ZONA!$C317,USOS!H:H,USOS!G:G)</f>
        <v>55</v>
      </c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</row>
    <row r="318" ht="27.75" hidden="1" customHeight="1">
      <c r="A318" s="37" t="s">
        <v>28</v>
      </c>
      <c r="B318" s="37">
        <v>55.0</v>
      </c>
      <c r="C318" s="37" t="s">
        <v>329</v>
      </c>
      <c r="D318" s="37" t="s">
        <v>251</v>
      </c>
      <c r="E318" s="38" t="s">
        <v>327</v>
      </c>
      <c r="F318" s="37">
        <v>317.0</v>
      </c>
      <c r="G318" s="37">
        <f t="array" ref="G318">XLOOKUP(USO_ZONA!$A318,MACROZONAS!B:B,MACROZONAS!A:A)</f>
        <v>2</v>
      </c>
      <c r="H318" s="37">
        <f t="array" ref="H318">XLOOKUP(USO_ZONA!$C318,USOS!H:H,USOS!G:G)</f>
        <v>55</v>
      </c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</row>
    <row r="319" ht="27.75" hidden="1" customHeight="1">
      <c r="A319" s="39" t="s">
        <v>42</v>
      </c>
      <c r="B319" s="39">
        <v>55.0</v>
      </c>
      <c r="C319" s="39" t="s">
        <v>329</v>
      </c>
      <c r="D319" s="39" t="s">
        <v>251</v>
      </c>
      <c r="E319" s="40" t="s">
        <v>327</v>
      </c>
      <c r="F319" s="39">
        <v>318.0</v>
      </c>
      <c r="G319" s="39">
        <f t="array" ref="G319">XLOOKUP(USO_ZONA!$A319,MACROZONAS!B:B,MACROZONAS!A:A)</f>
        <v>3</v>
      </c>
      <c r="H319" s="39">
        <f t="array" ref="H319">XLOOKUP(USO_ZONA!$C319,USOS!H:H,USOS!G:G)</f>
        <v>55</v>
      </c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</row>
    <row r="320" ht="27.75" hidden="1" customHeight="1">
      <c r="A320" s="37" t="s">
        <v>18</v>
      </c>
      <c r="B320" s="37">
        <v>55.0</v>
      </c>
      <c r="C320" s="37" t="s">
        <v>329</v>
      </c>
      <c r="D320" s="37" t="s">
        <v>251</v>
      </c>
      <c r="E320" s="38" t="s">
        <v>327</v>
      </c>
      <c r="F320" s="37">
        <v>319.0</v>
      </c>
      <c r="G320" s="37">
        <f t="array" ref="G320">XLOOKUP(USO_ZONA!$A320,MACROZONAS!B:B,MACROZONAS!A:A)</f>
        <v>4</v>
      </c>
      <c r="H320" s="37">
        <f t="array" ref="H320">XLOOKUP(USO_ZONA!$C320,USOS!H:H,USOS!G:G)</f>
        <v>55</v>
      </c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</row>
    <row r="321" ht="27.75" hidden="1" customHeight="1">
      <c r="A321" s="39" t="s">
        <v>39</v>
      </c>
      <c r="B321" s="39">
        <v>55.0</v>
      </c>
      <c r="C321" s="39" t="s">
        <v>329</v>
      </c>
      <c r="D321" s="39" t="s">
        <v>251</v>
      </c>
      <c r="E321" s="40" t="s">
        <v>327</v>
      </c>
      <c r="F321" s="39">
        <v>320.0</v>
      </c>
      <c r="G321" s="39">
        <f t="array" ref="G321">XLOOKUP(USO_ZONA!$A321,MACROZONAS!B:B,MACROZONAS!A:A)</f>
        <v>5</v>
      </c>
      <c r="H321" s="39">
        <f t="array" ref="H321">XLOOKUP(USO_ZONA!$C321,USOS!H:H,USOS!G:G)</f>
        <v>55</v>
      </c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</row>
    <row r="322" ht="27.75" hidden="1" customHeight="1">
      <c r="A322" s="37" t="s">
        <v>29</v>
      </c>
      <c r="B322" s="37">
        <v>55.0</v>
      </c>
      <c r="C322" s="37" t="s">
        <v>329</v>
      </c>
      <c r="D322" s="37" t="s">
        <v>252</v>
      </c>
      <c r="E322" s="38" t="s">
        <v>328</v>
      </c>
      <c r="F322" s="37">
        <v>321.0</v>
      </c>
      <c r="G322" s="37">
        <f t="array" ref="G322">XLOOKUP(USO_ZONA!$A322,MACROZONAS!B:B,MACROZONAS!A:A)</f>
        <v>6</v>
      </c>
      <c r="H322" s="37">
        <f t="array" ref="H322">XLOOKUP(USO_ZONA!$C322,USOS!H:H,USOS!G:G)</f>
        <v>55</v>
      </c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</row>
    <row r="323" ht="27.75" hidden="1" customHeight="1">
      <c r="A323" s="39" t="s">
        <v>43</v>
      </c>
      <c r="B323" s="39">
        <v>55.0</v>
      </c>
      <c r="C323" s="39" t="s">
        <v>329</v>
      </c>
      <c r="D323" s="39" t="s">
        <v>252</v>
      </c>
      <c r="E323" s="40" t="s">
        <v>328</v>
      </c>
      <c r="F323" s="39">
        <v>322.0</v>
      </c>
      <c r="G323" s="39">
        <f t="array" ref="G323">XLOOKUP(USO_ZONA!$A323,MACROZONAS!B:B,MACROZONAS!A:A)</f>
        <v>7</v>
      </c>
      <c r="H323" s="39">
        <f t="array" ref="H323">XLOOKUP(USO_ZONA!$C323,USOS!H:H,USOS!G:G)</f>
        <v>55</v>
      </c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</row>
    <row r="324" ht="27.75" hidden="1" customHeight="1">
      <c r="A324" s="37" t="s">
        <v>33</v>
      </c>
      <c r="B324" s="37">
        <v>58.0</v>
      </c>
      <c r="C324" s="37" t="s">
        <v>330</v>
      </c>
      <c r="D324" s="37" t="s">
        <v>251</v>
      </c>
      <c r="E324" s="38" t="s">
        <v>327</v>
      </c>
      <c r="F324" s="37">
        <v>323.0</v>
      </c>
      <c r="G324" s="37">
        <f t="array" ref="G324">XLOOKUP(USO_ZONA!$A324,MACROZONAS!B:B,MACROZONAS!A:A)</f>
        <v>1</v>
      </c>
      <c r="H324" s="37">
        <f t="array" ref="H324">XLOOKUP(USO_ZONA!$C324,USOS!H:H,USOS!G:G)</f>
        <v>58</v>
      </c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</row>
    <row r="325" ht="27.75" hidden="1" customHeight="1">
      <c r="A325" s="39" t="s">
        <v>28</v>
      </c>
      <c r="B325" s="39">
        <v>58.0</v>
      </c>
      <c r="C325" s="39" t="s">
        <v>330</v>
      </c>
      <c r="D325" s="39" t="s">
        <v>251</v>
      </c>
      <c r="E325" s="40" t="s">
        <v>327</v>
      </c>
      <c r="F325" s="39">
        <v>324.0</v>
      </c>
      <c r="G325" s="39">
        <f t="array" ref="G325">XLOOKUP(USO_ZONA!$A325,MACROZONAS!B:B,MACROZONAS!A:A)</f>
        <v>2</v>
      </c>
      <c r="H325" s="39">
        <f t="array" ref="H325">XLOOKUP(USO_ZONA!$C325,USOS!H:H,USOS!G:G)</f>
        <v>58</v>
      </c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</row>
    <row r="326" ht="27.75" hidden="1" customHeight="1">
      <c r="A326" s="37" t="s">
        <v>42</v>
      </c>
      <c r="B326" s="37">
        <v>58.0</v>
      </c>
      <c r="C326" s="37" t="s">
        <v>330</v>
      </c>
      <c r="D326" s="37" t="s">
        <v>251</v>
      </c>
      <c r="E326" s="38" t="s">
        <v>327</v>
      </c>
      <c r="F326" s="37">
        <v>325.0</v>
      </c>
      <c r="G326" s="37">
        <f t="array" ref="G326">XLOOKUP(USO_ZONA!$A326,MACROZONAS!B:B,MACROZONAS!A:A)</f>
        <v>3</v>
      </c>
      <c r="H326" s="37">
        <f t="array" ref="H326">XLOOKUP(USO_ZONA!$C326,USOS!H:H,USOS!G:G)</f>
        <v>58</v>
      </c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</row>
    <row r="327" ht="27.75" hidden="1" customHeight="1">
      <c r="A327" s="39" t="s">
        <v>18</v>
      </c>
      <c r="B327" s="39">
        <v>58.0</v>
      </c>
      <c r="C327" s="39" t="s">
        <v>330</v>
      </c>
      <c r="D327" s="39" t="s">
        <v>251</v>
      </c>
      <c r="E327" s="40" t="s">
        <v>327</v>
      </c>
      <c r="F327" s="39">
        <v>326.0</v>
      </c>
      <c r="G327" s="39">
        <f t="array" ref="G327">XLOOKUP(USO_ZONA!$A327,MACROZONAS!B:B,MACROZONAS!A:A)</f>
        <v>4</v>
      </c>
      <c r="H327" s="39">
        <f t="array" ref="H327">XLOOKUP(USO_ZONA!$C327,USOS!H:H,USOS!G:G)</f>
        <v>58</v>
      </c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</row>
    <row r="328" ht="27.75" hidden="1" customHeight="1">
      <c r="A328" s="37" t="s">
        <v>39</v>
      </c>
      <c r="B328" s="37">
        <v>58.0</v>
      </c>
      <c r="C328" s="37" t="s">
        <v>330</v>
      </c>
      <c r="D328" s="37" t="s">
        <v>251</v>
      </c>
      <c r="E328" s="38" t="s">
        <v>327</v>
      </c>
      <c r="F328" s="37">
        <v>327.0</v>
      </c>
      <c r="G328" s="37">
        <f t="array" ref="G328">XLOOKUP(USO_ZONA!$A328,MACROZONAS!B:B,MACROZONAS!A:A)</f>
        <v>5</v>
      </c>
      <c r="H328" s="37">
        <f t="array" ref="H328">XLOOKUP(USO_ZONA!$C328,USOS!H:H,USOS!G:G)</f>
        <v>58</v>
      </c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</row>
    <row r="329" ht="27.75" hidden="1" customHeight="1">
      <c r="A329" s="39" t="s">
        <v>29</v>
      </c>
      <c r="B329" s="39">
        <v>58.0</v>
      </c>
      <c r="C329" s="39" t="s">
        <v>330</v>
      </c>
      <c r="D329" s="39" t="s">
        <v>252</v>
      </c>
      <c r="E329" s="40" t="s">
        <v>328</v>
      </c>
      <c r="F329" s="39">
        <v>328.0</v>
      </c>
      <c r="G329" s="39">
        <f t="array" ref="G329">XLOOKUP(USO_ZONA!$A329,MACROZONAS!B:B,MACROZONAS!A:A)</f>
        <v>6</v>
      </c>
      <c r="H329" s="39">
        <f t="array" ref="H329">XLOOKUP(USO_ZONA!$C329,USOS!H:H,USOS!G:G)</f>
        <v>58</v>
      </c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</row>
    <row r="330" ht="27.75" hidden="1" customHeight="1">
      <c r="A330" s="37" t="s">
        <v>43</v>
      </c>
      <c r="B330" s="37">
        <v>58.0</v>
      </c>
      <c r="C330" s="37" t="s">
        <v>330</v>
      </c>
      <c r="D330" s="37" t="s">
        <v>252</v>
      </c>
      <c r="E330" s="38" t="s">
        <v>328</v>
      </c>
      <c r="F330" s="37">
        <v>329.0</v>
      </c>
      <c r="G330" s="37">
        <f t="array" ref="G330">XLOOKUP(USO_ZONA!$A330,MACROZONAS!B:B,MACROZONAS!A:A)</f>
        <v>7</v>
      </c>
      <c r="H330" s="37">
        <f t="array" ref="H330">XLOOKUP(USO_ZONA!$C330,USOS!H:H,USOS!G:G)</f>
        <v>58</v>
      </c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</row>
    <row r="331" ht="27.75" hidden="1" customHeight="1">
      <c r="A331" s="39" t="s">
        <v>33</v>
      </c>
      <c r="B331" s="39">
        <v>61.0</v>
      </c>
      <c r="C331" s="39" t="s">
        <v>331</v>
      </c>
      <c r="D331" s="39" t="s">
        <v>251</v>
      </c>
      <c r="E331" s="40" t="s">
        <v>327</v>
      </c>
      <c r="F331" s="39">
        <v>330.0</v>
      </c>
      <c r="G331" s="39">
        <f t="array" ref="G331">XLOOKUP(USO_ZONA!$A331,MACROZONAS!B:B,MACROZONAS!A:A)</f>
        <v>1</v>
      </c>
      <c r="H331" s="39">
        <f t="array" ref="H331">XLOOKUP(USO_ZONA!$C331,USOS!H:H,USOS!G:G)</f>
        <v>61</v>
      </c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</row>
    <row r="332" ht="27.75" hidden="1" customHeight="1">
      <c r="A332" s="37" t="s">
        <v>28</v>
      </c>
      <c r="B332" s="37">
        <v>61.0</v>
      </c>
      <c r="C332" s="37" t="s">
        <v>331</v>
      </c>
      <c r="D332" s="37" t="s">
        <v>251</v>
      </c>
      <c r="E332" s="38" t="s">
        <v>327</v>
      </c>
      <c r="F332" s="37">
        <v>331.0</v>
      </c>
      <c r="G332" s="37">
        <f t="array" ref="G332">XLOOKUP(USO_ZONA!$A332,MACROZONAS!B:B,MACROZONAS!A:A)</f>
        <v>2</v>
      </c>
      <c r="H332" s="37">
        <f t="array" ref="H332">XLOOKUP(USO_ZONA!$C332,USOS!H:H,USOS!G:G)</f>
        <v>61</v>
      </c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</row>
    <row r="333" ht="27.75" hidden="1" customHeight="1">
      <c r="A333" s="39" t="s">
        <v>42</v>
      </c>
      <c r="B333" s="39">
        <v>61.0</v>
      </c>
      <c r="C333" s="39" t="s">
        <v>331</v>
      </c>
      <c r="D333" s="39" t="s">
        <v>251</v>
      </c>
      <c r="E333" s="40" t="s">
        <v>327</v>
      </c>
      <c r="F333" s="39">
        <v>332.0</v>
      </c>
      <c r="G333" s="39">
        <f t="array" ref="G333">XLOOKUP(USO_ZONA!$A333,MACROZONAS!B:B,MACROZONAS!A:A)</f>
        <v>3</v>
      </c>
      <c r="H333" s="39">
        <f t="array" ref="H333">XLOOKUP(USO_ZONA!$C333,USOS!H:H,USOS!G:G)</f>
        <v>61</v>
      </c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</row>
    <row r="334" ht="27.75" hidden="1" customHeight="1">
      <c r="A334" s="37" t="s">
        <v>18</v>
      </c>
      <c r="B334" s="37">
        <v>61.0</v>
      </c>
      <c r="C334" s="37" t="s">
        <v>331</v>
      </c>
      <c r="D334" s="37" t="s">
        <v>251</v>
      </c>
      <c r="E334" s="38" t="s">
        <v>327</v>
      </c>
      <c r="F334" s="37">
        <v>333.0</v>
      </c>
      <c r="G334" s="37">
        <f t="array" ref="G334">XLOOKUP(USO_ZONA!$A334,MACROZONAS!B:B,MACROZONAS!A:A)</f>
        <v>4</v>
      </c>
      <c r="H334" s="37">
        <f t="array" ref="H334">XLOOKUP(USO_ZONA!$C334,USOS!H:H,USOS!G:G)</f>
        <v>61</v>
      </c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</row>
    <row r="335" ht="27.75" hidden="1" customHeight="1">
      <c r="A335" s="39" t="s">
        <v>39</v>
      </c>
      <c r="B335" s="39">
        <v>61.0</v>
      </c>
      <c r="C335" s="39" t="s">
        <v>331</v>
      </c>
      <c r="D335" s="39" t="s">
        <v>251</v>
      </c>
      <c r="E335" s="40" t="s">
        <v>327</v>
      </c>
      <c r="F335" s="39">
        <v>334.0</v>
      </c>
      <c r="G335" s="39">
        <f t="array" ref="G335">XLOOKUP(USO_ZONA!$A335,MACROZONAS!B:B,MACROZONAS!A:A)</f>
        <v>5</v>
      </c>
      <c r="H335" s="39">
        <f t="array" ref="H335">XLOOKUP(USO_ZONA!$C335,USOS!H:H,USOS!G:G)</f>
        <v>61</v>
      </c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</row>
    <row r="336" ht="27.75" hidden="1" customHeight="1">
      <c r="A336" s="37" t="s">
        <v>29</v>
      </c>
      <c r="B336" s="37">
        <v>61.0</v>
      </c>
      <c r="C336" s="37" t="s">
        <v>331</v>
      </c>
      <c r="D336" s="37" t="s">
        <v>252</v>
      </c>
      <c r="E336" s="38" t="s">
        <v>328</v>
      </c>
      <c r="F336" s="37">
        <v>335.0</v>
      </c>
      <c r="G336" s="37">
        <f t="array" ref="G336">XLOOKUP(USO_ZONA!$A336,MACROZONAS!B:B,MACROZONAS!A:A)</f>
        <v>6</v>
      </c>
      <c r="H336" s="37">
        <f t="array" ref="H336">XLOOKUP(USO_ZONA!$C336,USOS!H:H,USOS!G:G)</f>
        <v>61</v>
      </c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</row>
    <row r="337" ht="27.75" hidden="1" customHeight="1">
      <c r="A337" s="39" t="s">
        <v>43</v>
      </c>
      <c r="B337" s="39">
        <v>61.0</v>
      </c>
      <c r="C337" s="39" t="s">
        <v>331</v>
      </c>
      <c r="D337" s="39" t="s">
        <v>252</v>
      </c>
      <c r="E337" s="40" t="s">
        <v>328</v>
      </c>
      <c r="F337" s="39">
        <v>336.0</v>
      </c>
      <c r="G337" s="39">
        <f t="array" ref="G337">XLOOKUP(USO_ZONA!$A337,MACROZONAS!B:B,MACROZONAS!A:A)</f>
        <v>7</v>
      </c>
      <c r="H337" s="39">
        <f t="array" ref="H337">XLOOKUP(USO_ZONA!$C337,USOS!H:H,USOS!G:G)</f>
        <v>61</v>
      </c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</row>
    <row r="338" ht="27.75" hidden="1" customHeight="1">
      <c r="A338" s="37" t="s">
        <v>33</v>
      </c>
      <c r="B338" s="37">
        <v>64.0</v>
      </c>
      <c r="C338" s="37" t="s">
        <v>332</v>
      </c>
      <c r="D338" s="37" t="s">
        <v>251</v>
      </c>
      <c r="E338" s="38" t="s">
        <v>327</v>
      </c>
      <c r="F338" s="37">
        <v>337.0</v>
      </c>
      <c r="G338" s="37">
        <f t="array" ref="G338">XLOOKUP(USO_ZONA!$A338,MACROZONAS!B:B,MACROZONAS!A:A)</f>
        <v>1</v>
      </c>
      <c r="H338" s="37">
        <f t="array" ref="H338">XLOOKUP(USO_ZONA!$C338,USOS!H:H,USOS!G:G)</f>
        <v>64</v>
      </c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</row>
    <row r="339" ht="27.75" hidden="1" customHeight="1">
      <c r="A339" s="39" t="s">
        <v>28</v>
      </c>
      <c r="B339" s="39">
        <v>64.0</v>
      </c>
      <c r="C339" s="39" t="s">
        <v>332</v>
      </c>
      <c r="D339" s="39" t="s">
        <v>251</v>
      </c>
      <c r="E339" s="40" t="s">
        <v>327</v>
      </c>
      <c r="F339" s="39">
        <v>338.0</v>
      </c>
      <c r="G339" s="39">
        <f t="array" ref="G339">XLOOKUP(USO_ZONA!$A339,MACROZONAS!B:B,MACROZONAS!A:A)</f>
        <v>2</v>
      </c>
      <c r="H339" s="39">
        <f t="array" ref="H339">XLOOKUP(USO_ZONA!$C339,USOS!H:H,USOS!G:G)</f>
        <v>64</v>
      </c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</row>
    <row r="340" ht="27.75" hidden="1" customHeight="1">
      <c r="A340" s="37" t="s">
        <v>42</v>
      </c>
      <c r="B340" s="37">
        <v>64.0</v>
      </c>
      <c r="C340" s="37" t="s">
        <v>332</v>
      </c>
      <c r="D340" s="37" t="s">
        <v>251</v>
      </c>
      <c r="E340" s="38" t="s">
        <v>327</v>
      </c>
      <c r="F340" s="37">
        <v>339.0</v>
      </c>
      <c r="G340" s="37">
        <f t="array" ref="G340">XLOOKUP(USO_ZONA!$A340,MACROZONAS!B:B,MACROZONAS!A:A)</f>
        <v>3</v>
      </c>
      <c r="H340" s="37">
        <f t="array" ref="H340">XLOOKUP(USO_ZONA!$C340,USOS!H:H,USOS!G:G)</f>
        <v>64</v>
      </c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</row>
    <row r="341" ht="27.75" hidden="1" customHeight="1">
      <c r="A341" s="39" t="s">
        <v>18</v>
      </c>
      <c r="B341" s="39">
        <v>64.0</v>
      </c>
      <c r="C341" s="39" t="s">
        <v>332</v>
      </c>
      <c r="D341" s="39" t="s">
        <v>251</v>
      </c>
      <c r="E341" s="40" t="s">
        <v>327</v>
      </c>
      <c r="F341" s="39">
        <v>340.0</v>
      </c>
      <c r="G341" s="39">
        <f t="array" ref="G341">XLOOKUP(USO_ZONA!$A341,MACROZONAS!B:B,MACROZONAS!A:A)</f>
        <v>4</v>
      </c>
      <c r="H341" s="39">
        <f t="array" ref="H341">XLOOKUP(USO_ZONA!$C341,USOS!H:H,USOS!G:G)</f>
        <v>64</v>
      </c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</row>
    <row r="342" ht="27.75" hidden="1" customHeight="1">
      <c r="A342" s="37" t="s">
        <v>39</v>
      </c>
      <c r="B342" s="37">
        <v>64.0</v>
      </c>
      <c r="C342" s="37" t="s">
        <v>332</v>
      </c>
      <c r="D342" s="37" t="s">
        <v>251</v>
      </c>
      <c r="E342" s="38" t="s">
        <v>327</v>
      </c>
      <c r="F342" s="37">
        <v>341.0</v>
      </c>
      <c r="G342" s="37">
        <f t="array" ref="G342">XLOOKUP(USO_ZONA!$A342,MACROZONAS!B:B,MACROZONAS!A:A)</f>
        <v>5</v>
      </c>
      <c r="H342" s="37">
        <f t="array" ref="H342">XLOOKUP(USO_ZONA!$C342,USOS!H:H,USOS!G:G)</f>
        <v>64</v>
      </c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</row>
    <row r="343" ht="27.75" hidden="1" customHeight="1">
      <c r="A343" s="39" t="s">
        <v>29</v>
      </c>
      <c r="B343" s="39">
        <v>64.0</v>
      </c>
      <c r="C343" s="39" t="s">
        <v>332</v>
      </c>
      <c r="D343" s="39" t="s">
        <v>252</v>
      </c>
      <c r="E343" s="40" t="s">
        <v>328</v>
      </c>
      <c r="F343" s="39">
        <v>342.0</v>
      </c>
      <c r="G343" s="39">
        <f t="array" ref="G343">XLOOKUP(USO_ZONA!$A343,MACROZONAS!B:B,MACROZONAS!A:A)</f>
        <v>6</v>
      </c>
      <c r="H343" s="39">
        <f t="array" ref="H343">XLOOKUP(USO_ZONA!$C343,USOS!H:H,USOS!G:G)</f>
        <v>64</v>
      </c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</row>
    <row r="344" ht="27.75" hidden="1" customHeight="1">
      <c r="A344" s="37" t="s">
        <v>43</v>
      </c>
      <c r="B344" s="37">
        <v>64.0</v>
      </c>
      <c r="C344" s="37" t="s">
        <v>332</v>
      </c>
      <c r="D344" s="37" t="s">
        <v>252</v>
      </c>
      <c r="E344" s="38" t="s">
        <v>328</v>
      </c>
      <c r="F344" s="37">
        <v>343.0</v>
      </c>
      <c r="G344" s="37">
        <f t="array" ref="G344">XLOOKUP(USO_ZONA!$A344,MACROZONAS!B:B,MACROZONAS!A:A)</f>
        <v>7</v>
      </c>
      <c r="H344" s="37">
        <f t="array" ref="H344">XLOOKUP(USO_ZONA!$C344,USOS!H:H,USOS!G:G)</f>
        <v>64</v>
      </c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</row>
    <row r="345" ht="27.75" hidden="1" customHeight="1">
      <c r="A345" s="39" t="s">
        <v>33</v>
      </c>
      <c r="B345" s="39">
        <v>66.0</v>
      </c>
      <c r="C345" s="39" t="s">
        <v>333</v>
      </c>
      <c r="D345" s="39" t="s">
        <v>252</v>
      </c>
      <c r="E345" s="40" t="s">
        <v>334</v>
      </c>
      <c r="F345" s="39">
        <v>344.0</v>
      </c>
      <c r="G345" s="39">
        <f t="array" ref="G345">XLOOKUP(USO_ZONA!$A345,MACROZONAS!B:B,MACROZONAS!A:A)</f>
        <v>1</v>
      </c>
      <c r="H345" s="39">
        <f t="array" ref="H345">XLOOKUP(USO_ZONA!$C345,USOS!H:H,USOS!G:G)</f>
        <v>66</v>
      </c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</row>
    <row r="346" ht="27.75" hidden="1" customHeight="1">
      <c r="A346" s="37" t="s">
        <v>28</v>
      </c>
      <c r="B346" s="37">
        <v>66.0</v>
      </c>
      <c r="C346" s="37" t="s">
        <v>333</v>
      </c>
      <c r="D346" s="37" t="s">
        <v>252</v>
      </c>
      <c r="E346" s="38" t="s">
        <v>334</v>
      </c>
      <c r="F346" s="37">
        <v>345.0</v>
      </c>
      <c r="G346" s="37">
        <f t="array" ref="G346">XLOOKUP(USO_ZONA!$A346,MACROZONAS!B:B,MACROZONAS!A:A)</f>
        <v>2</v>
      </c>
      <c r="H346" s="37">
        <f t="array" ref="H346">XLOOKUP(USO_ZONA!$C346,USOS!H:H,USOS!G:G)</f>
        <v>66</v>
      </c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</row>
    <row r="347" ht="27.75" hidden="1" customHeight="1">
      <c r="A347" s="39" t="s">
        <v>42</v>
      </c>
      <c r="B347" s="39">
        <v>66.0</v>
      </c>
      <c r="C347" s="39" t="s">
        <v>333</v>
      </c>
      <c r="D347" s="39" t="s">
        <v>252</v>
      </c>
      <c r="E347" s="40" t="s">
        <v>334</v>
      </c>
      <c r="F347" s="39">
        <v>346.0</v>
      </c>
      <c r="G347" s="39">
        <f t="array" ref="G347">XLOOKUP(USO_ZONA!$A347,MACROZONAS!B:B,MACROZONAS!A:A)</f>
        <v>3</v>
      </c>
      <c r="H347" s="39">
        <f t="array" ref="H347">XLOOKUP(USO_ZONA!$C347,USOS!H:H,USOS!G:G)</f>
        <v>66</v>
      </c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</row>
    <row r="348" ht="27.75" hidden="1" customHeight="1">
      <c r="A348" s="37" t="s">
        <v>18</v>
      </c>
      <c r="B348" s="37">
        <v>66.0</v>
      </c>
      <c r="C348" s="37" t="s">
        <v>333</v>
      </c>
      <c r="D348" s="37" t="s">
        <v>252</v>
      </c>
      <c r="E348" s="38" t="s">
        <v>334</v>
      </c>
      <c r="F348" s="37">
        <v>347.0</v>
      </c>
      <c r="G348" s="37">
        <f t="array" ref="G348">XLOOKUP(USO_ZONA!$A348,MACROZONAS!B:B,MACROZONAS!A:A)</f>
        <v>4</v>
      </c>
      <c r="H348" s="37">
        <f t="array" ref="H348">XLOOKUP(USO_ZONA!$C348,USOS!H:H,USOS!G:G)</f>
        <v>66</v>
      </c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</row>
    <row r="349" ht="27.75" hidden="1" customHeight="1">
      <c r="A349" s="39" t="s">
        <v>39</v>
      </c>
      <c r="B349" s="39">
        <v>66.0</v>
      </c>
      <c r="C349" s="39" t="s">
        <v>333</v>
      </c>
      <c r="D349" s="39" t="s">
        <v>251</v>
      </c>
      <c r="E349" s="39"/>
      <c r="F349" s="39">
        <v>348.0</v>
      </c>
      <c r="G349" s="39">
        <f t="array" ref="G349">XLOOKUP(USO_ZONA!$A349,MACROZONAS!B:B,MACROZONAS!A:A)</f>
        <v>5</v>
      </c>
      <c r="H349" s="39">
        <f t="array" ref="H349">XLOOKUP(USO_ZONA!$C349,USOS!H:H,USOS!G:G)</f>
        <v>66</v>
      </c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</row>
    <row r="350" ht="27.75" hidden="1" customHeight="1">
      <c r="A350" s="37" t="s">
        <v>29</v>
      </c>
      <c r="B350" s="37">
        <v>66.0</v>
      </c>
      <c r="C350" s="37" t="s">
        <v>333</v>
      </c>
      <c r="D350" s="37" t="s">
        <v>251</v>
      </c>
      <c r="E350" s="37"/>
      <c r="F350" s="37">
        <v>349.0</v>
      </c>
      <c r="G350" s="37">
        <f t="array" ref="G350">XLOOKUP(USO_ZONA!$A350,MACROZONAS!B:B,MACROZONAS!A:A)</f>
        <v>6</v>
      </c>
      <c r="H350" s="37">
        <f t="array" ref="H350">XLOOKUP(USO_ZONA!$C350,USOS!H:H,USOS!G:G)</f>
        <v>66</v>
      </c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</row>
    <row r="351" ht="27.75" hidden="1" customHeight="1">
      <c r="A351" s="39" t="s">
        <v>43</v>
      </c>
      <c r="B351" s="39">
        <v>66.0</v>
      </c>
      <c r="C351" s="39" t="s">
        <v>333</v>
      </c>
      <c r="D351" s="39" t="s">
        <v>248</v>
      </c>
      <c r="E351" s="40" t="s">
        <v>335</v>
      </c>
      <c r="F351" s="39">
        <v>350.0</v>
      </c>
      <c r="G351" s="39">
        <f t="array" ref="G351">XLOOKUP(USO_ZONA!$A351,MACROZONAS!B:B,MACROZONAS!A:A)</f>
        <v>7</v>
      </c>
      <c r="H351" s="39">
        <f t="array" ref="H351">XLOOKUP(USO_ZONA!$C351,USOS!H:H,USOS!G:G)</f>
        <v>66</v>
      </c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</row>
    <row r="352" ht="27.75" hidden="1" customHeight="1">
      <c r="A352" s="37" t="s">
        <v>33</v>
      </c>
      <c r="B352" s="37">
        <v>67.0</v>
      </c>
      <c r="C352" s="37" t="s">
        <v>336</v>
      </c>
      <c r="D352" s="37" t="s">
        <v>252</v>
      </c>
      <c r="E352" s="38" t="s">
        <v>334</v>
      </c>
      <c r="F352" s="37">
        <v>351.0</v>
      </c>
      <c r="G352" s="37">
        <f t="array" ref="G352">XLOOKUP(USO_ZONA!$A352,MACROZONAS!B:B,MACROZONAS!A:A)</f>
        <v>1</v>
      </c>
      <c r="H352" s="37">
        <f t="array" ref="H352">XLOOKUP(USO_ZONA!$C352,USOS!H:H,USOS!G:G)</f>
        <v>67</v>
      </c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</row>
    <row r="353" ht="27.75" hidden="1" customHeight="1">
      <c r="A353" s="39" t="s">
        <v>28</v>
      </c>
      <c r="B353" s="39">
        <v>67.0</v>
      </c>
      <c r="C353" s="39" t="s">
        <v>336</v>
      </c>
      <c r="D353" s="39" t="s">
        <v>252</v>
      </c>
      <c r="E353" s="40" t="s">
        <v>334</v>
      </c>
      <c r="F353" s="39">
        <v>352.0</v>
      </c>
      <c r="G353" s="39">
        <f t="array" ref="G353">XLOOKUP(USO_ZONA!$A353,MACROZONAS!B:B,MACROZONAS!A:A)</f>
        <v>2</v>
      </c>
      <c r="H353" s="39">
        <f t="array" ref="H353">XLOOKUP(USO_ZONA!$C353,USOS!H:H,USOS!G:G)</f>
        <v>67</v>
      </c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</row>
    <row r="354" ht="27.75" hidden="1" customHeight="1">
      <c r="A354" s="37" t="s">
        <v>42</v>
      </c>
      <c r="B354" s="37">
        <v>67.0</v>
      </c>
      <c r="C354" s="37" t="s">
        <v>336</v>
      </c>
      <c r="D354" s="37" t="s">
        <v>252</v>
      </c>
      <c r="E354" s="38" t="s">
        <v>334</v>
      </c>
      <c r="F354" s="37">
        <v>353.0</v>
      </c>
      <c r="G354" s="37">
        <f t="array" ref="G354">XLOOKUP(USO_ZONA!$A354,MACROZONAS!B:B,MACROZONAS!A:A)</f>
        <v>3</v>
      </c>
      <c r="H354" s="37">
        <f t="array" ref="H354">XLOOKUP(USO_ZONA!$C354,USOS!H:H,USOS!G:G)</f>
        <v>67</v>
      </c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</row>
    <row r="355" ht="27.75" hidden="1" customHeight="1">
      <c r="A355" s="39" t="s">
        <v>18</v>
      </c>
      <c r="B355" s="39">
        <v>67.0</v>
      </c>
      <c r="C355" s="39" t="s">
        <v>336</v>
      </c>
      <c r="D355" s="39" t="s">
        <v>252</v>
      </c>
      <c r="E355" s="40" t="s">
        <v>334</v>
      </c>
      <c r="F355" s="39">
        <v>354.0</v>
      </c>
      <c r="G355" s="39">
        <f t="array" ref="G355">XLOOKUP(USO_ZONA!$A355,MACROZONAS!B:B,MACROZONAS!A:A)</f>
        <v>4</v>
      </c>
      <c r="H355" s="39">
        <f t="array" ref="H355">XLOOKUP(USO_ZONA!$C355,USOS!H:H,USOS!G:G)</f>
        <v>67</v>
      </c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</row>
    <row r="356" ht="27.75" hidden="1" customHeight="1">
      <c r="A356" s="37" t="s">
        <v>39</v>
      </c>
      <c r="B356" s="37">
        <v>67.0</v>
      </c>
      <c r="C356" s="37" t="s">
        <v>336</v>
      </c>
      <c r="D356" s="37" t="s">
        <v>251</v>
      </c>
      <c r="E356" s="37"/>
      <c r="F356" s="37">
        <v>355.0</v>
      </c>
      <c r="G356" s="37">
        <f t="array" ref="G356">XLOOKUP(USO_ZONA!$A356,MACROZONAS!B:B,MACROZONAS!A:A)</f>
        <v>5</v>
      </c>
      <c r="H356" s="37">
        <f t="array" ref="H356">XLOOKUP(USO_ZONA!$C356,USOS!H:H,USOS!G:G)</f>
        <v>67</v>
      </c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</row>
    <row r="357" ht="27.75" hidden="1" customHeight="1">
      <c r="A357" s="39" t="s">
        <v>29</v>
      </c>
      <c r="B357" s="39">
        <v>67.0</v>
      </c>
      <c r="C357" s="39" t="s">
        <v>336</v>
      </c>
      <c r="D357" s="39" t="s">
        <v>251</v>
      </c>
      <c r="E357" s="39"/>
      <c r="F357" s="39">
        <v>356.0</v>
      </c>
      <c r="G357" s="39">
        <f t="array" ref="G357">XLOOKUP(USO_ZONA!$A357,MACROZONAS!B:B,MACROZONAS!A:A)</f>
        <v>6</v>
      </c>
      <c r="H357" s="39">
        <f t="array" ref="H357">XLOOKUP(USO_ZONA!$C357,USOS!H:H,USOS!G:G)</f>
        <v>67</v>
      </c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</row>
    <row r="358" ht="27.75" hidden="1" customHeight="1">
      <c r="A358" s="37" t="s">
        <v>33</v>
      </c>
      <c r="B358" s="37">
        <v>68.0</v>
      </c>
      <c r="C358" s="37" t="s">
        <v>337</v>
      </c>
      <c r="D358" s="37" t="s">
        <v>252</v>
      </c>
      <c r="E358" s="38" t="s">
        <v>334</v>
      </c>
      <c r="F358" s="37">
        <v>357.0</v>
      </c>
      <c r="G358" s="37">
        <f t="array" ref="G358">XLOOKUP(USO_ZONA!$A358,MACROZONAS!B:B,MACROZONAS!A:A)</f>
        <v>1</v>
      </c>
      <c r="H358" s="37">
        <f t="array" ref="H358">XLOOKUP(USO_ZONA!$C358,USOS!H:H,USOS!G:G)</f>
        <v>68</v>
      </c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</row>
    <row r="359" ht="27.75" hidden="1" customHeight="1">
      <c r="A359" s="39" t="s">
        <v>28</v>
      </c>
      <c r="B359" s="39">
        <v>68.0</v>
      </c>
      <c r="C359" s="39" t="s">
        <v>337</v>
      </c>
      <c r="D359" s="39" t="s">
        <v>252</v>
      </c>
      <c r="E359" s="40" t="s">
        <v>334</v>
      </c>
      <c r="F359" s="39">
        <v>358.0</v>
      </c>
      <c r="G359" s="39">
        <f t="array" ref="G359">XLOOKUP(USO_ZONA!$A359,MACROZONAS!B:B,MACROZONAS!A:A)</f>
        <v>2</v>
      </c>
      <c r="H359" s="39">
        <f t="array" ref="H359">XLOOKUP(USO_ZONA!$C359,USOS!H:H,USOS!G:G)</f>
        <v>68</v>
      </c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</row>
    <row r="360" ht="27.75" hidden="1" customHeight="1">
      <c r="A360" s="37" t="s">
        <v>42</v>
      </c>
      <c r="B360" s="37">
        <v>68.0</v>
      </c>
      <c r="C360" s="37" t="s">
        <v>337</v>
      </c>
      <c r="D360" s="37" t="s">
        <v>252</v>
      </c>
      <c r="E360" s="38" t="s">
        <v>334</v>
      </c>
      <c r="F360" s="37">
        <v>359.0</v>
      </c>
      <c r="G360" s="37">
        <f t="array" ref="G360">XLOOKUP(USO_ZONA!$A360,MACROZONAS!B:B,MACROZONAS!A:A)</f>
        <v>3</v>
      </c>
      <c r="H360" s="37">
        <f t="array" ref="H360">XLOOKUP(USO_ZONA!$C360,USOS!H:H,USOS!G:G)</f>
        <v>68</v>
      </c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</row>
    <row r="361" ht="27.75" hidden="1" customHeight="1">
      <c r="A361" s="39" t="s">
        <v>18</v>
      </c>
      <c r="B361" s="39">
        <v>68.0</v>
      </c>
      <c r="C361" s="39" t="s">
        <v>337</v>
      </c>
      <c r="D361" s="39" t="s">
        <v>252</v>
      </c>
      <c r="E361" s="40" t="s">
        <v>334</v>
      </c>
      <c r="F361" s="39">
        <v>360.0</v>
      </c>
      <c r="G361" s="39">
        <f t="array" ref="G361">XLOOKUP(USO_ZONA!$A361,MACROZONAS!B:B,MACROZONAS!A:A)</f>
        <v>4</v>
      </c>
      <c r="H361" s="39">
        <f t="array" ref="H361">XLOOKUP(USO_ZONA!$C361,USOS!H:H,USOS!G:G)</f>
        <v>68</v>
      </c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</row>
    <row r="362" ht="27.75" hidden="1" customHeight="1">
      <c r="A362" s="37" t="s">
        <v>39</v>
      </c>
      <c r="B362" s="37">
        <v>68.0</v>
      </c>
      <c r="C362" s="37" t="s">
        <v>337</v>
      </c>
      <c r="D362" s="37" t="s">
        <v>251</v>
      </c>
      <c r="E362" s="37"/>
      <c r="F362" s="37">
        <v>361.0</v>
      </c>
      <c r="G362" s="37">
        <f t="array" ref="G362">XLOOKUP(USO_ZONA!$A362,MACROZONAS!B:B,MACROZONAS!A:A)</f>
        <v>5</v>
      </c>
      <c r="H362" s="37">
        <f t="array" ref="H362">XLOOKUP(USO_ZONA!$C362,USOS!H:H,USOS!G:G)</f>
        <v>68</v>
      </c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</row>
    <row r="363" ht="27.75" hidden="1" customHeight="1">
      <c r="A363" s="39" t="s">
        <v>29</v>
      </c>
      <c r="B363" s="39">
        <v>68.0</v>
      </c>
      <c r="C363" s="39" t="s">
        <v>337</v>
      </c>
      <c r="D363" s="39" t="s">
        <v>251</v>
      </c>
      <c r="E363" s="39"/>
      <c r="F363" s="39">
        <v>362.0</v>
      </c>
      <c r="G363" s="39">
        <f t="array" ref="G363">XLOOKUP(USO_ZONA!$A363,MACROZONAS!B:B,MACROZONAS!A:A)</f>
        <v>6</v>
      </c>
      <c r="H363" s="39">
        <f t="array" ref="H363">XLOOKUP(USO_ZONA!$C363,USOS!H:H,USOS!G:G)</f>
        <v>68</v>
      </c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</row>
    <row r="364" ht="27.75" hidden="1" customHeight="1">
      <c r="A364" s="37" t="s">
        <v>33</v>
      </c>
      <c r="B364" s="37">
        <v>69.0</v>
      </c>
      <c r="C364" s="37" t="s">
        <v>338</v>
      </c>
      <c r="D364" s="37" t="s">
        <v>252</v>
      </c>
      <c r="E364" s="38" t="s">
        <v>334</v>
      </c>
      <c r="F364" s="37">
        <v>363.0</v>
      </c>
      <c r="G364" s="37">
        <f t="array" ref="G364">XLOOKUP(USO_ZONA!$A364,MACROZONAS!B:B,MACROZONAS!A:A)</f>
        <v>1</v>
      </c>
      <c r="H364" s="37">
        <f t="array" ref="H364">XLOOKUP(USO_ZONA!$C364,USOS!H:H,USOS!G:G)</f>
        <v>69</v>
      </c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</row>
    <row r="365" ht="27.75" hidden="1" customHeight="1">
      <c r="A365" s="39" t="s">
        <v>28</v>
      </c>
      <c r="B365" s="39">
        <v>69.0</v>
      </c>
      <c r="C365" s="39" t="s">
        <v>338</v>
      </c>
      <c r="D365" s="39" t="s">
        <v>252</v>
      </c>
      <c r="E365" s="40" t="s">
        <v>334</v>
      </c>
      <c r="F365" s="39">
        <v>364.0</v>
      </c>
      <c r="G365" s="39">
        <f t="array" ref="G365">XLOOKUP(USO_ZONA!$A365,MACROZONAS!B:B,MACROZONAS!A:A)</f>
        <v>2</v>
      </c>
      <c r="H365" s="39">
        <f t="array" ref="H365">XLOOKUP(USO_ZONA!$C365,USOS!H:H,USOS!G:G)</f>
        <v>69</v>
      </c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</row>
    <row r="366" ht="27.75" hidden="1" customHeight="1">
      <c r="A366" s="37" t="s">
        <v>42</v>
      </c>
      <c r="B366" s="37">
        <v>69.0</v>
      </c>
      <c r="C366" s="37" t="s">
        <v>338</v>
      </c>
      <c r="D366" s="37" t="s">
        <v>252</v>
      </c>
      <c r="E366" s="38" t="s">
        <v>334</v>
      </c>
      <c r="F366" s="37">
        <v>365.0</v>
      </c>
      <c r="G366" s="37">
        <f t="array" ref="G366">XLOOKUP(USO_ZONA!$A366,MACROZONAS!B:B,MACROZONAS!A:A)</f>
        <v>3</v>
      </c>
      <c r="H366" s="37">
        <f t="array" ref="H366">XLOOKUP(USO_ZONA!$C366,USOS!H:H,USOS!G:G)</f>
        <v>69</v>
      </c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</row>
    <row r="367" ht="27.75" hidden="1" customHeight="1">
      <c r="A367" s="39" t="s">
        <v>18</v>
      </c>
      <c r="B367" s="39">
        <v>69.0</v>
      </c>
      <c r="C367" s="39" t="s">
        <v>338</v>
      </c>
      <c r="D367" s="39" t="s">
        <v>252</v>
      </c>
      <c r="E367" s="40" t="s">
        <v>334</v>
      </c>
      <c r="F367" s="39">
        <v>366.0</v>
      </c>
      <c r="G367" s="39">
        <f t="array" ref="G367">XLOOKUP(USO_ZONA!$A367,MACROZONAS!B:B,MACROZONAS!A:A)</f>
        <v>4</v>
      </c>
      <c r="H367" s="39">
        <f t="array" ref="H367">XLOOKUP(USO_ZONA!$C367,USOS!H:H,USOS!G:G)</f>
        <v>69</v>
      </c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</row>
    <row r="368" ht="27.75" hidden="1" customHeight="1">
      <c r="A368" s="37" t="s">
        <v>39</v>
      </c>
      <c r="B368" s="37">
        <v>69.0</v>
      </c>
      <c r="C368" s="37" t="s">
        <v>338</v>
      </c>
      <c r="D368" s="37" t="s">
        <v>251</v>
      </c>
      <c r="E368" s="37"/>
      <c r="F368" s="37">
        <v>367.0</v>
      </c>
      <c r="G368" s="37">
        <f t="array" ref="G368">XLOOKUP(USO_ZONA!$A368,MACROZONAS!B:B,MACROZONAS!A:A)</f>
        <v>5</v>
      </c>
      <c r="H368" s="37">
        <f t="array" ref="H368">XLOOKUP(USO_ZONA!$C368,USOS!H:H,USOS!G:G)</f>
        <v>69</v>
      </c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</row>
    <row r="369" ht="27.75" hidden="1" customHeight="1">
      <c r="A369" s="39" t="s">
        <v>29</v>
      </c>
      <c r="B369" s="39">
        <v>69.0</v>
      </c>
      <c r="C369" s="39" t="s">
        <v>338</v>
      </c>
      <c r="D369" s="39" t="s">
        <v>251</v>
      </c>
      <c r="E369" s="39"/>
      <c r="F369" s="39">
        <v>368.0</v>
      </c>
      <c r="G369" s="39">
        <f t="array" ref="G369">XLOOKUP(USO_ZONA!$A369,MACROZONAS!B:B,MACROZONAS!A:A)</f>
        <v>6</v>
      </c>
      <c r="H369" s="39">
        <f t="array" ref="H369">XLOOKUP(USO_ZONA!$C369,USOS!H:H,USOS!G:G)</f>
        <v>69</v>
      </c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</row>
    <row r="370" ht="27.75" hidden="1" customHeight="1">
      <c r="A370" s="37" t="s">
        <v>33</v>
      </c>
      <c r="B370" s="37">
        <v>70.0</v>
      </c>
      <c r="C370" s="37" t="s">
        <v>339</v>
      </c>
      <c r="D370" s="37" t="s">
        <v>252</v>
      </c>
      <c r="E370" s="38" t="s">
        <v>334</v>
      </c>
      <c r="F370" s="37">
        <v>369.0</v>
      </c>
      <c r="G370" s="37">
        <f t="array" ref="G370">XLOOKUP(USO_ZONA!$A370,MACROZONAS!B:B,MACROZONAS!A:A)</f>
        <v>1</v>
      </c>
      <c r="H370" s="37">
        <f t="array" ref="H370">XLOOKUP(USO_ZONA!$C370,USOS!H:H,USOS!G:G)</f>
        <v>70</v>
      </c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</row>
    <row r="371" ht="27.75" hidden="1" customHeight="1">
      <c r="A371" s="39" t="s">
        <v>28</v>
      </c>
      <c r="B371" s="39">
        <v>70.0</v>
      </c>
      <c r="C371" s="39" t="s">
        <v>339</v>
      </c>
      <c r="D371" s="39" t="s">
        <v>252</v>
      </c>
      <c r="E371" s="40" t="s">
        <v>334</v>
      </c>
      <c r="F371" s="39">
        <v>370.0</v>
      </c>
      <c r="G371" s="39">
        <f t="array" ref="G371">XLOOKUP(USO_ZONA!$A371,MACROZONAS!B:B,MACROZONAS!A:A)</f>
        <v>2</v>
      </c>
      <c r="H371" s="39">
        <f t="array" ref="H371">XLOOKUP(USO_ZONA!$C371,USOS!H:H,USOS!G:G)</f>
        <v>70</v>
      </c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</row>
    <row r="372" ht="27.75" hidden="1" customHeight="1">
      <c r="A372" s="37" t="s">
        <v>42</v>
      </c>
      <c r="B372" s="37">
        <v>70.0</v>
      </c>
      <c r="C372" s="37" t="s">
        <v>339</v>
      </c>
      <c r="D372" s="37" t="s">
        <v>252</v>
      </c>
      <c r="E372" s="38" t="s">
        <v>334</v>
      </c>
      <c r="F372" s="37">
        <v>371.0</v>
      </c>
      <c r="G372" s="37">
        <f t="array" ref="G372">XLOOKUP(USO_ZONA!$A372,MACROZONAS!B:B,MACROZONAS!A:A)</f>
        <v>3</v>
      </c>
      <c r="H372" s="37">
        <f t="array" ref="H372">XLOOKUP(USO_ZONA!$C372,USOS!H:H,USOS!G:G)</f>
        <v>70</v>
      </c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</row>
    <row r="373" ht="27.75" hidden="1" customHeight="1">
      <c r="A373" s="39" t="s">
        <v>18</v>
      </c>
      <c r="B373" s="39">
        <v>70.0</v>
      </c>
      <c r="C373" s="39" t="s">
        <v>339</v>
      </c>
      <c r="D373" s="39" t="s">
        <v>252</v>
      </c>
      <c r="E373" s="40" t="s">
        <v>334</v>
      </c>
      <c r="F373" s="39">
        <v>372.0</v>
      </c>
      <c r="G373" s="39">
        <f t="array" ref="G373">XLOOKUP(USO_ZONA!$A373,MACROZONAS!B:B,MACROZONAS!A:A)</f>
        <v>4</v>
      </c>
      <c r="H373" s="39">
        <f t="array" ref="H373">XLOOKUP(USO_ZONA!$C373,USOS!H:H,USOS!G:G)</f>
        <v>70</v>
      </c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</row>
    <row r="374" ht="27.75" hidden="1" customHeight="1">
      <c r="A374" s="37" t="s">
        <v>39</v>
      </c>
      <c r="B374" s="37">
        <v>70.0</v>
      </c>
      <c r="C374" s="37" t="s">
        <v>339</v>
      </c>
      <c r="D374" s="37" t="s">
        <v>251</v>
      </c>
      <c r="E374" s="37"/>
      <c r="F374" s="37">
        <v>373.0</v>
      </c>
      <c r="G374" s="37">
        <f t="array" ref="G374">XLOOKUP(USO_ZONA!$A374,MACROZONAS!B:B,MACROZONAS!A:A)</f>
        <v>5</v>
      </c>
      <c r="H374" s="37">
        <f t="array" ref="H374">XLOOKUP(USO_ZONA!$C374,USOS!H:H,USOS!G:G)</f>
        <v>70</v>
      </c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</row>
    <row r="375" ht="27.75" hidden="1" customHeight="1">
      <c r="A375" s="39" t="s">
        <v>29</v>
      </c>
      <c r="B375" s="39">
        <v>70.0</v>
      </c>
      <c r="C375" s="39" t="s">
        <v>339</v>
      </c>
      <c r="D375" s="39" t="s">
        <v>251</v>
      </c>
      <c r="E375" s="39"/>
      <c r="F375" s="39">
        <v>374.0</v>
      </c>
      <c r="G375" s="39">
        <f t="array" ref="G375">XLOOKUP(USO_ZONA!$A375,MACROZONAS!B:B,MACROZONAS!A:A)</f>
        <v>6</v>
      </c>
      <c r="H375" s="39">
        <f t="array" ref="H375">XLOOKUP(USO_ZONA!$C375,USOS!H:H,USOS!G:G)</f>
        <v>70</v>
      </c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</row>
    <row r="376" ht="27.75" hidden="1" customHeight="1">
      <c r="A376" s="37" t="s">
        <v>33</v>
      </c>
      <c r="B376" s="37">
        <v>71.0</v>
      </c>
      <c r="C376" s="37" t="s">
        <v>340</v>
      </c>
      <c r="D376" s="37" t="s">
        <v>252</v>
      </c>
      <c r="E376" s="38" t="s">
        <v>334</v>
      </c>
      <c r="F376" s="37">
        <v>375.0</v>
      </c>
      <c r="G376" s="37">
        <f t="array" ref="G376">XLOOKUP(USO_ZONA!$A376,MACROZONAS!B:B,MACROZONAS!A:A)</f>
        <v>1</v>
      </c>
      <c r="H376" s="37">
        <f t="array" ref="H376">XLOOKUP(USO_ZONA!$C376,USOS!H:H,USOS!G:G)</f>
        <v>71</v>
      </c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</row>
    <row r="377" ht="27.75" hidden="1" customHeight="1">
      <c r="A377" s="39" t="s">
        <v>28</v>
      </c>
      <c r="B377" s="39">
        <v>71.0</v>
      </c>
      <c r="C377" s="39" t="s">
        <v>340</v>
      </c>
      <c r="D377" s="39" t="s">
        <v>252</v>
      </c>
      <c r="E377" s="40" t="s">
        <v>334</v>
      </c>
      <c r="F377" s="39">
        <v>376.0</v>
      </c>
      <c r="G377" s="39">
        <f t="array" ref="G377">XLOOKUP(USO_ZONA!$A377,MACROZONAS!B:B,MACROZONAS!A:A)</f>
        <v>2</v>
      </c>
      <c r="H377" s="39">
        <f t="array" ref="H377">XLOOKUP(USO_ZONA!$C377,USOS!H:H,USOS!G:G)</f>
        <v>71</v>
      </c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</row>
    <row r="378" ht="27.75" hidden="1" customHeight="1">
      <c r="A378" s="37" t="s">
        <v>42</v>
      </c>
      <c r="B378" s="37">
        <v>71.0</v>
      </c>
      <c r="C378" s="37" t="s">
        <v>340</v>
      </c>
      <c r="D378" s="37" t="s">
        <v>252</v>
      </c>
      <c r="E378" s="38" t="s">
        <v>334</v>
      </c>
      <c r="F378" s="37">
        <v>377.0</v>
      </c>
      <c r="G378" s="37">
        <f t="array" ref="G378">XLOOKUP(USO_ZONA!$A378,MACROZONAS!B:B,MACROZONAS!A:A)</f>
        <v>3</v>
      </c>
      <c r="H378" s="37">
        <f t="array" ref="H378">XLOOKUP(USO_ZONA!$C378,USOS!H:H,USOS!G:G)</f>
        <v>71</v>
      </c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</row>
    <row r="379" ht="27.75" hidden="1" customHeight="1">
      <c r="A379" s="39" t="s">
        <v>18</v>
      </c>
      <c r="B379" s="39">
        <v>71.0</v>
      </c>
      <c r="C379" s="39" t="s">
        <v>340</v>
      </c>
      <c r="D379" s="39" t="s">
        <v>252</v>
      </c>
      <c r="E379" s="40" t="s">
        <v>334</v>
      </c>
      <c r="F379" s="39">
        <v>378.0</v>
      </c>
      <c r="G379" s="39">
        <f t="array" ref="G379">XLOOKUP(USO_ZONA!$A379,MACROZONAS!B:B,MACROZONAS!A:A)</f>
        <v>4</v>
      </c>
      <c r="H379" s="39">
        <f t="array" ref="H379">XLOOKUP(USO_ZONA!$C379,USOS!H:H,USOS!G:G)</f>
        <v>71</v>
      </c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</row>
    <row r="380" ht="27.75" hidden="1" customHeight="1">
      <c r="A380" s="37" t="s">
        <v>39</v>
      </c>
      <c r="B380" s="37">
        <v>71.0</v>
      </c>
      <c r="C380" s="37" t="s">
        <v>340</v>
      </c>
      <c r="D380" s="37" t="s">
        <v>251</v>
      </c>
      <c r="E380" s="37"/>
      <c r="F380" s="37">
        <v>379.0</v>
      </c>
      <c r="G380" s="37">
        <f t="array" ref="G380">XLOOKUP(USO_ZONA!$A380,MACROZONAS!B:B,MACROZONAS!A:A)</f>
        <v>5</v>
      </c>
      <c r="H380" s="37">
        <f t="array" ref="H380">XLOOKUP(USO_ZONA!$C380,USOS!H:H,USOS!G:G)</f>
        <v>71</v>
      </c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</row>
    <row r="381" ht="27.75" hidden="1" customHeight="1">
      <c r="A381" s="39" t="s">
        <v>29</v>
      </c>
      <c r="B381" s="39">
        <v>71.0</v>
      </c>
      <c r="C381" s="39" t="s">
        <v>340</v>
      </c>
      <c r="D381" s="39" t="s">
        <v>251</v>
      </c>
      <c r="E381" s="39"/>
      <c r="F381" s="39">
        <v>380.0</v>
      </c>
      <c r="G381" s="39">
        <f t="array" ref="G381">XLOOKUP(USO_ZONA!$A381,MACROZONAS!B:B,MACROZONAS!A:A)</f>
        <v>6</v>
      </c>
      <c r="H381" s="39">
        <f t="array" ref="H381">XLOOKUP(USO_ZONA!$C381,USOS!H:H,USOS!G:G)</f>
        <v>71</v>
      </c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</row>
    <row r="382" ht="27.75" hidden="1" customHeight="1">
      <c r="A382" s="37" t="s">
        <v>33</v>
      </c>
      <c r="B382" s="37">
        <v>72.0</v>
      </c>
      <c r="C382" s="37" t="s">
        <v>341</v>
      </c>
      <c r="D382" s="37" t="s">
        <v>252</v>
      </c>
      <c r="E382" s="38" t="s">
        <v>334</v>
      </c>
      <c r="F382" s="37">
        <v>381.0</v>
      </c>
      <c r="G382" s="37">
        <f t="array" ref="G382">XLOOKUP(USO_ZONA!$A382,MACROZONAS!B:B,MACROZONAS!A:A)</f>
        <v>1</v>
      </c>
      <c r="H382" s="37">
        <f t="array" ref="H382">XLOOKUP(USO_ZONA!$C382,USOS!H:H,USOS!G:G)</f>
        <v>72</v>
      </c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</row>
    <row r="383" ht="27.75" hidden="1" customHeight="1">
      <c r="A383" s="39" t="s">
        <v>28</v>
      </c>
      <c r="B383" s="39">
        <v>72.0</v>
      </c>
      <c r="C383" s="39" t="s">
        <v>341</v>
      </c>
      <c r="D383" s="39" t="s">
        <v>252</v>
      </c>
      <c r="E383" s="40" t="s">
        <v>334</v>
      </c>
      <c r="F383" s="39">
        <v>382.0</v>
      </c>
      <c r="G383" s="39">
        <f t="array" ref="G383">XLOOKUP(USO_ZONA!$A383,MACROZONAS!B:B,MACROZONAS!A:A)</f>
        <v>2</v>
      </c>
      <c r="H383" s="39">
        <f t="array" ref="H383">XLOOKUP(USO_ZONA!$C383,USOS!H:H,USOS!G:G)</f>
        <v>72</v>
      </c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</row>
    <row r="384" ht="27.75" hidden="1" customHeight="1">
      <c r="A384" s="37" t="s">
        <v>42</v>
      </c>
      <c r="B384" s="37">
        <v>72.0</v>
      </c>
      <c r="C384" s="37" t="s">
        <v>341</v>
      </c>
      <c r="D384" s="37" t="s">
        <v>252</v>
      </c>
      <c r="E384" s="38" t="s">
        <v>334</v>
      </c>
      <c r="F384" s="37">
        <v>383.0</v>
      </c>
      <c r="G384" s="37">
        <f t="array" ref="G384">XLOOKUP(USO_ZONA!$A384,MACROZONAS!B:B,MACROZONAS!A:A)</f>
        <v>3</v>
      </c>
      <c r="H384" s="37">
        <f t="array" ref="H384">XLOOKUP(USO_ZONA!$C384,USOS!H:H,USOS!G:G)</f>
        <v>72</v>
      </c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</row>
    <row r="385" ht="27.75" hidden="1" customHeight="1">
      <c r="A385" s="39" t="s">
        <v>18</v>
      </c>
      <c r="B385" s="39">
        <v>72.0</v>
      </c>
      <c r="C385" s="39" t="s">
        <v>341</v>
      </c>
      <c r="D385" s="39" t="s">
        <v>252</v>
      </c>
      <c r="E385" s="40" t="s">
        <v>334</v>
      </c>
      <c r="F385" s="39">
        <v>384.0</v>
      </c>
      <c r="G385" s="39">
        <f t="array" ref="G385">XLOOKUP(USO_ZONA!$A385,MACROZONAS!B:B,MACROZONAS!A:A)</f>
        <v>4</v>
      </c>
      <c r="H385" s="39">
        <f t="array" ref="H385">XLOOKUP(USO_ZONA!$C385,USOS!H:H,USOS!G:G)</f>
        <v>72</v>
      </c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</row>
    <row r="386" ht="27.75" hidden="1" customHeight="1">
      <c r="A386" s="37" t="s">
        <v>39</v>
      </c>
      <c r="B386" s="37">
        <v>72.0</v>
      </c>
      <c r="C386" s="37" t="s">
        <v>341</v>
      </c>
      <c r="D386" s="37" t="s">
        <v>251</v>
      </c>
      <c r="E386" s="37"/>
      <c r="F386" s="37">
        <v>385.0</v>
      </c>
      <c r="G386" s="37">
        <f t="array" ref="G386">XLOOKUP(USO_ZONA!$A386,MACROZONAS!B:B,MACROZONAS!A:A)</f>
        <v>5</v>
      </c>
      <c r="H386" s="37">
        <f t="array" ref="H386">XLOOKUP(USO_ZONA!$C386,USOS!H:H,USOS!G:G)</f>
        <v>72</v>
      </c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</row>
    <row r="387" ht="27.75" hidden="1" customHeight="1">
      <c r="A387" s="39" t="s">
        <v>29</v>
      </c>
      <c r="B387" s="39">
        <v>72.0</v>
      </c>
      <c r="C387" s="39" t="s">
        <v>341</v>
      </c>
      <c r="D387" s="39" t="s">
        <v>251</v>
      </c>
      <c r="E387" s="39"/>
      <c r="F387" s="39">
        <v>386.0</v>
      </c>
      <c r="G387" s="39">
        <f t="array" ref="G387">XLOOKUP(USO_ZONA!$A387,MACROZONAS!B:B,MACROZONAS!A:A)</f>
        <v>6</v>
      </c>
      <c r="H387" s="39">
        <f t="array" ref="H387">XLOOKUP(USO_ZONA!$C387,USOS!H:H,USOS!G:G)</f>
        <v>72</v>
      </c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</row>
    <row r="388" ht="27.75" hidden="1" customHeight="1">
      <c r="A388" s="37" t="s">
        <v>33</v>
      </c>
      <c r="B388" s="37">
        <v>73.0</v>
      </c>
      <c r="C388" s="37" t="s">
        <v>342</v>
      </c>
      <c r="D388" s="37" t="s">
        <v>252</v>
      </c>
      <c r="E388" s="38" t="s">
        <v>334</v>
      </c>
      <c r="F388" s="37">
        <v>387.0</v>
      </c>
      <c r="G388" s="37">
        <f t="array" ref="G388">XLOOKUP(USO_ZONA!$A388,MACROZONAS!B:B,MACROZONAS!A:A)</f>
        <v>1</v>
      </c>
      <c r="H388" s="37">
        <f t="array" ref="H388">XLOOKUP(USO_ZONA!$C388,USOS!H:H,USOS!G:G)</f>
        <v>73</v>
      </c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</row>
    <row r="389" ht="27.75" hidden="1" customHeight="1">
      <c r="A389" s="39" t="s">
        <v>28</v>
      </c>
      <c r="B389" s="39">
        <v>73.0</v>
      </c>
      <c r="C389" s="39" t="s">
        <v>342</v>
      </c>
      <c r="D389" s="39" t="s">
        <v>252</v>
      </c>
      <c r="E389" s="40" t="s">
        <v>334</v>
      </c>
      <c r="F389" s="39">
        <v>388.0</v>
      </c>
      <c r="G389" s="39">
        <f t="array" ref="G389">XLOOKUP(USO_ZONA!$A389,MACROZONAS!B:B,MACROZONAS!A:A)</f>
        <v>2</v>
      </c>
      <c r="H389" s="39">
        <f t="array" ref="H389">XLOOKUP(USO_ZONA!$C389,USOS!H:H,USOS!G:G)</f>
        <v>73</v>
      </c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</row>
    <row r="390" ht="27.75" hidden="1" customHeight="1">
      <c r="A390" s="37" t="s">
        <v>42</v>
      </c>
      <c r="B390" s="37">
        <v>73.0</v>
      </c>
      <c r="C390" s="37" t="s">
        <v>342</v>
      </c>
      <c r="D390" s="37" t="s">
        <v>252</v>
      </c>
      <c r="E390" s="38" t="s">
        <v>334</v>
      </c>
      <c r="F390" s="37">
        <v>389.0</v>
      </c>
      <c r="G390" s="37">
        <f t="array" ref="G390">XLOOKUP(USO_ZONA!$A390,MACROZONAS!B:B,MACROZONAS!A:A)</f>
        <v>3</v>
      </c>
      <c r="H390" s="37">
        <f t="array" ref="H390">XLOOKUP(USO_ZONA!$C390,USOS!H:H,USOS!G:G)</f>
        <v>73</v>
      </c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</row>
    <row r="391" ht="27.75" hidden="1" customHeight="1">
      <c r="A391" s="39" t="s">
        <v>18</v>
      </c>
      <c r="B391" s="39">
        <v>73.0</v>
      </c>
      <c r="C391" s="39" t="s">
        <v>342</v>
      </c>
      <c r="D391" s="39" t="s">
        <v>252</v>
      </c>
      <c r="E391" s="40" t="s">
        <v>334</v>
      </c>
      <c r="F391" s="39">
        <v>390.0</v>
      </c>
      <c r="G391" s="39">
        <f t="array" ref="G391">XLOOKUP(USO_ZONA!$A391,MACROZONAS!B:B,MACROZONAS!A:A)</f>
        <v>4</v>
      </c>
      <c r="H391" s="39">
        <f t="array" ref="H391">XLOOKUP(USO_ZONA!$C391,USOS!H:H,USOS!G:G)</f>
        <v>73</v>
      </c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</row>
    <row r="392" ht="27.75" hidden="1" customHeight="1">
      <c r="A392" s="37" t="s">
        <v>39</v>
      </c>
      <c r="B392" s="37">
        <v>73.0</v>
      </c>
      <c r="C392" s="37" t="s">
        <v>342</v>
      </c>
      <c r="D392" s="37" t="s">
        <v>251</v>
      </c>
      <c r="E392" s="37"/>
      <c r="F392" s="37">
        <v>391.0</v>
      </c>
      <c r="G392" s="37">
        <f t="array" ref="G392">XLOOKUP(USO_ZONA!$A392,MACROZONAS!B:B,MACROZONAS!A:A)</f>
        <v>5</v>
      </c>
      <c r="H392" s="37">
        <f t="array" ref="H392">XLOOKUP(USO_ZONA!$C392,USOS!H:H,USOS!G:G)</f>
        <v>73</v>
      </c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</row>
    <row r="393" ht="27.75" hidden="1" customHeight="1">
      <c r="A393" s="39" t="s">
        <v>29</v>
      </c>
      <c r="B393" s="39">
        <v>73.0</v>
      </c>
      <c r="C393" s="39" t="s">
        <v>342</v>
      </c>
      <c r="D393" s="39" t="s">
        <v>251</v>
      </c>
      <c r="E393" s="39"/>
      <c r="F393" s="39">
        <v>392.0</v>
      </c>
      <c r="G393" s="39">
        <f t="array" ref="G393">XLOOKUP(USO_ZONA!$A393,MACROZONAS!B:B,MACROZONAS!A:A)</f>
        <v>6</v>
      </c>
      <c r="H393" s="39">
        <f t="array" ref="H393">XLOOKUP(USO_ZONA!$C393,USOS!H:H,USOS!G:G)</f>
        <v>73</v>
      </c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</row>
    <row r="394" ht="27.75" hidden="1" customHeight="1">
      <c r="A394" s="37" t="s">
        <v>33</v>
      </c>
      <c r="B394" s="37">
        <v>74.0</v>
      </c>
      <c r="C394" s="37" t="s">
        <v>343</v>
      </c>
      <c r="D394" s="37" t="s">
        <v>252</v>
      </c>
      <c r="E394" s="38" t="s">
        <v>334</v>
      </c>
      <c r="F394" s="37">
        <v>393.0</v>
      </c>
      <c r="G394" s="37">
        <f t="array" ref="G394">XLOOKUP(USO_ZONA!$A394,MACROZONAS!B:B,MACROZONAS!A:A)</f>
        <v>1</v>
      </c>
      <c r="H394" s="37">
        <f t="array" ref="H394">XLOOKUP(USO_ZONA!$C394,USOS!H:H,USOS!G:G)</f>
        <v>74</v>
      </c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</row>
    <row r="395" ht="27.75" hidden="1" customHeight="1">
      <c r="A395" s="39" t="s">
        <v>28</v>
      </c>
      <c r="B395" s="39">
        <v>74.0</v>
      </c>
      <c r="C395" s="39" t="s">
        <v>343</v>
      </c>
      <c r="D395" s="39" t="s">
        <v>252</v>
      </c>
      <c r="E395" s="40" t="s">
        <v>334</v>
      </c>
      <c r="F395" s="39">
        <v>394.0</v>
      </c>
      <c r="G395" s="39">
        <f t="array" ref="G395">XLOOKUP(USO_ZONA!$A395,MACROZONAS!B:B,MACROZONAS!A:A)</f>
        <v>2</v>
      </c>
      <c r="H395" s="39">
        <f t="array" ref="H395">XLOOKUP(USO_ZONA!$C395,USOS!H:H,USOS!G:G)</f>
        <v>74</v>
      </c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</row>
    <row r="396" ht="27.75" hidden="1" customHeight="1">
      <c r="A396" s="37" t="s">
        <v>42</v>
      </c>
      <c r="B396" s="37">
        <v>74.0</v>
      </c>
      <c r="C396" s="37" t="s">
        <v>343</v>
      </c>
      <c r="D396" s="37" t="s">
        <v>252</v>
      </c>
      <c r="E396" s="38" t="s">
        <v>334</v>
      </c>
      <c r="F396" s="37">
        <v>395.0</v>
      </c>
      <c r="G396" s="37">
        <f t="array" ref="G396">XLOOKUP(USO_ZONA!$A396,MACROZONAS!B:B,MACROZONAS!A:A)</f>
        <v>3</v>
      </c>
      <c r="H396" s="37">
        <f t="array" ref="H396">XLOOKUP(USO_ZONA!$C396,USOS!H:H,USOS!G:G)</f>
        <v>74</v>
      </c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</row>
    <row r="397" ht="27.75" hidden="1" customHeight="1">
      <c r="A397" s="39" t="s">
        <v>18</v>
      </c>
      <c r="B397" s="39">
        <v>74.0</v>
      </c>
      <c r="C397" s="39" t="s">
        <v>343</v>
      </c>
      <c r="D397" s="39" t="s">
        <v>252</v>
      </c>
      <c r="E397" s="40" t="s">
        <v>334</v>
      </c>
      <c r="F397" s="39">
        <v>396.0</v>
      </c>
      <c r="G397" s="39">
        <f t="array" ref="G397">XLOOKUP(USO_ZONA!$A397,MACROZONAS!B:B,MACROZONAS!A:A)</f>
        <v>4</v>
      </c>
      <c r="H397" s="39">
        <f t="array" ref="H397">XLOOKUP(USO_ZONA!$C397,USOS!H:H,USOS!G:G)</f>
        <v>74</v>
      </c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</row>
    <row r="398" ht="27.75" hidden="1" customHeight="1">
      <c r="A398" s="37" t="s">
        <v>39</v>
      </c>
      <c r="B398" s="37">
        <v>74.0</v>
      </c>
      <c r="C398" s="37" t="s">
        <v>343</v>
      </c>
      <c r="D398" s="37" t="s">
        <v>251</v>
      </c>
      <c r="E398" s="37"/>
      <c r="F398" s="37">
        <v>397.0</v>
      </c>
      <c r="G398" s="37">
        <f t="array" ref="G398">XLOOKUP(USO_ZONA!$A398,MACROZONAS!B:B,MACROZONAS!A:A)</f>
        <v>5</v>
      </c>
      <c r="H398" s="37">
        <f t="array" ref="H398">XLOOKUP(USO_ZONA!$C398,USOS!H:H,USOS!G:G)</f>
        <v>74</v>
      </c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</row>
    <row r="399" ht="27.75" hidden="1" customHeight="1">
      <c r="A399" s="39" t="s">
        <v>29</v>
      </c>
      <c r="B399" s="39">
        <v>74.0</v>
      </c>
      <c r="C399" s="39" t="s">
        <v>343</v>
      </c>
      <c r="D399" s="39" t="s">
        <v>251</v>
      </c>
      <c r="E399" s="39"/>
      <c r="F399" s="39">
        <v>398.0</v>
      </c>
      <c r="G399" s="39">
        <f t="array" ref="G399">XLOOKUP(USO_ZONA!$A399,MACROZONAS!B:B,MACROZONAS!A:A)</f>
        <v>6</v>
      </c>
      <c r="H399" s="39">
        <f t="array" ref="H399">XLOOKUP(USO_ZONA!$C399,USOS!H:H,USOS!G:G)</f>
        <v>74</v>
      </c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</row>
    <row r="400" ht="27.75" hidden="1" customHeight="1">
      <c r="A400" s="37" t="s">
        <v>33</v>
      </c>
      <c r="B400" s="37">
        <v>75.0</v>
      </c>
      <c r="C400" s="37" t="s">
        <v>344</v>
      </c>
      <c r="D400" s="37" t="s">
        <v>252</v>
      </c>
      <c r="E400" s="38" t="s">
        <v>334</v>
      </c>
      <c r="F400" s="37">
        <v>399.0</v>
      </c>
      <c r="G400" s="37">
        <f t="array" ref="G400">XLOOKUP(USO_ZONA!$A400,MACROZONAS!B:B,MACROZONAS!A:A)</f>
        <v>1</v>
      </c>
      <c r="H400" s="37">
        <f t="array" ref="H400">XLOOKUP(USO_ZONA!$C400,USOS!H:H,USOS!G:G)</f>
        <v>75</v>
      </c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</row>
    <row r="401" ht="27.75" hidden="1" customHeight="1">
      <c r="A401" s="39" t="s">
        <v>28</v>
      </c>
      <c r="B401" s="39">
        <v>75.0</v>
      </c>
      <c r="C401" s="39" t="s">
        <v>344</v>
      </c>
      <c r="D401" s="39" t="s">
        <v>252</v>
      </c>
      <c r="E401" s="40" t="s">
        <v>334</v>
      </c>
      <c r="F401" s="39">
        <v>400.0</v>
      </c>
      <c r="G401" s="39">
        <f t="array" ref="G401">XLOOKUP(USO_ZONA!$A401,MACROZONAS!B:B,MACROZONAS!A:A)</f>
        <v>2</v>
      </c>
      <c r="H401" s="39">
        <f t="array" ref="H401">XLOOKUP(USO_ZONA!$C401,USOS!H:H,USOS!G:G)</f>
        <v>75</v>
      </c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</row>
    <row r="402" ht="27.75" hidden="1" customHeight="1">
      <c r="A402" s="37" t="s">
        <v>42</v>
      </c>
      <c r="B402" s="37">
        <v>75.0</v>
      </c>
      <c r="C402" s="37" t="s">
        <v>344</v>
      </c>
      <c r="D402" s="37" t="s">
        <v>252</v>
      </c>
      <c r="E402" s="38" t="s">
        <v>334</v>
      </c>
      <c r="F402" s="37">
        <v>401.0</v>
      </c>
      <c r="G402" s="37">
        <f t="array" ref="G402">XLOOKUP(USO_ZONA!$A402,MACROZONAS!B:B,MACROZONAS!A:A)</f>
        <v>3</v>
      </c>
      <c r="H402" s="37">
        <f t="array" ref="H402">XLOOKUP(USO_ZONA!$C402,USOS!H:H,USOS!G:G)</f>
        <v>75</v>
      </c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</row>
    <row r="403" ht="27.75" hidden="1" customHeight="1">
      <c r="A403" s="39" t="s">
        <v>18</v>
      </c>
      <c r="B403" s="39">
        <v>75.0</v>
      </c>
      <c r="C403" s="39" t="s">
        <v>344</v>
      </c>
      <c r="D403" s="39" t="s">
        <v>252</v>
      </c>
      <c r="E403" s="40" t="s">
        <v>334</v>
      </c>
      <c r="F403" s="39">
        <v>402.0</v>
      </c>
      <c r="G403" s="39">
        <f t="array" ref="G403">XLOOKUP(USO_ZONA!$A403,MACROZONAS!B:B,MACROZONAS!A:A)</f>
        <v>4</v>
      </c>
      <c r="H403" s="39">
        <f t="array" ref="H403">XLOOKUP(USO_ZONA!$C403,USOS!H:H,USOS!G:G)</f>
        <v>75</v>
      </c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</row>
    <row r="404" ht="27.75" hidden="1" customHeight="1">
      <c r="A404" s="37" t="s">
        <v>39</v>
      </c>
      <c r="B404" s="37">
        <v>75.0</v>
      </c>
      <c r="C404" s="37" t="s">
        <v>344</v>
      </c>
      <c r="D404" s="37" t="s">
        <v>251</v>
      </c>
      <c r="E404" s="37"/>
      <c r="F404" s="37">
        <v>403.0</v>
      </c>
      <c r="G404" s="37">
        <f t="array" ref="G404">XLOOKUP(USO_ZONA!$A404,MACROZONAS!B:B,MACROZONAS!A:A)</f>
        <v>5</v>
      </c>
      <c r="H404" s="37">
        <f t="array" ref="H404">XLOOKUP(USO_ZONA!$C404,USOS!H:H,USOS!G:G)</f>
        <v>75</v>
      </c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</row>
    <row r="405" ht="27.75" hidden="1" customHeight="1">
      <c r="A405" s="39" t="s">
        <v>29</v>
      </c>
      <c r="B405" s="39">
        <v>75.0</v>
      </c>
      <c r="C405" s="39" t="s">
        <v>344</v>
      </c>
      <c r="D405" s="39" t="s">
        <v>251</v>
      </c>
      <c r="E405" s="39"/>
      <c r="F405" s="39">
        <v>404.0</v>
      </c>
      <c r="G405" s="39">
        <f t="array" ref="G405">XLOOKUP(USO_ZONA!$A405,MACROZONAS!B:B,MACROZONAS!A:A)</f>
        <v>6</v>
      </c>
      <c r="H405" s="39">
        <f t="array" ref="H405">XLOOKUP(USO_ZONA!$C405,USOS!H:H,USOS!G:G)</f>
        <v>75</v>
      </c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</row>
    <row r="406" ht="27.75" hidden="1" customHeight="1">
      <c r="A406" s="37" t="s">
        <v>33</v>
      </c>
      <c r="B406" s="37">
        <v>76.0</v>
      </c>
      <c r="C406" s="37" t="s">
        <v>345</v>
      </c>
      <c r="D406" s="37" t="s">
        <v>252</v>
      </c>
      <c r="E406" s="38" t="s">
        <v>334</v>
      </c>
      <c r="F406" s="37">
        <v>405.0</v>
      </c>
      <c r="G406" s="37">
        <f t="array" ref="G406">XLOOKUP(USO_ZONA!$A406,MACROZONAS!B:B,MACROZONAS!A:A)</f>
        <v>1</v>
      </c>
      <c r="H406" s="37">
        <f t="array" ref="H406">XLOOKUP(USO_ZONA!$C406,USOS!H:H,USOS!G:G)</f>
        <v>76</v>
      </c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</row>
    <row r="407" ht="27.75" hidden="1" customHeight="1">
      <c r="A407" s="39" t="s">
        <v>28</v>
      </c>
      <c r="B407" s="39">
        <v>76.0</v>
      </c>
      <c r="C407" s="39" t="s">
        <v>345</v>
      </c>
      <c r="D407" s="39" t="s">
        <v>252</v>
      </c>
      <c r="E407" s="40" t="s">
        <v>334</v>
      </c>
      <c r="F407" s="39">
        <v>406.0</v>
      </c>
      <c r="G407" s="39">
        <f t="array" ref="G407">XLOOKUP(USO_ZONA!$A407,MACROZONAS!B:B,MACROZONAS!A:A)</f>
        <v>2</v>
      </c>
      <c r="H407" s="39">
        <f t="array" ref="H407">XLOOKUP(USO_ZONA!$C407,USOS!H:H,USOS!G:G)</f>
        <v>76</v>
      </c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</row>
    <row r="408" ht="27.75" hidden="1" customHeight="1">
      <c r="A408" s="37" t="s">
        <v>42</v>
      </c>
      <c r="B408" s="37">
        <v>76.0</v>
      </c>
      <c r="C408" s="37" t="s">
        <v>345</v>
      </c>
      <c r="D408" s="37" t="s">
        <v>252</v>
      </c>
      <c r="E408" s="38" t="s">
        <v>334</v>
      </c>
      <c r="F408" s="37">
        <v>407.0</v>
      </c>
      <c r="G408" s="37">
        <f t="array" ref="G408">XLOOKUP(USO_ZONA!$A408,MACROZONAS!B:B,MACROZONAS!A:A)</f>
        <v>3</v>
      </c>
      <c r="H408" s="37">
        <f t="array" ref="H408">XLOOKUP(USO_ZONA!$C408,USOS!H:H,USOS!G:G)</f>
        <v>76</v>
      </c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</row>
    <row r="409" ht="27.75" hidden="1" customHeight="1">
      <c r="A409" s="39" t="s">
        <v>18</v>
      </c>
      <c r="B409" s="39">
        <v>76.0</v>
      </c>
      <c r="C409" s="39" t="s">
        <v>345</v>
      </c>
      <c r="D409" s="39" t="s">
        <v>252</v>
      </c>
      <c r="E409" s="40" t="s">
        <v>334</v>
      </c>
      <c r="F409" s="39">
        <v>408.0</v>
      </c>
      <c r="G409" s="39">
        <f t="array" ref="G409">XLOOKUP(USO_ZONA!$A409,MACROZONAS!B:B,MACROZONAS!A:A)</f>
        <v>4</v>
      </c>
      <c r="H409" s="39">
        <f t="array" ref="H409">XLOOKUP(USO_ZONA!$C409,USOS!H:H,USOS!G:G)</f>
        <v>76</v>
      </c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</row>
    <row r="410" ht="27.75" hidden="1" customHeight="1">
      <c r="A410" s="37" t="s">
        <v>39</v>
      </c>
      <c r="B410" s="37">
        <v>76.0</v>
      </c>
      <c r="C410" s="37" t="s">
        <v>345</v>
      </c>
      <c r="D410" s="37" t="s">
        <v>251</v>
      </c>
      <c r="E410" s="37"/>
      <c r="F410" s="37">
        <v>409.0</v>
      </c>
      <c r="G410" s="37">
        <f t="array" ref="G410">XLOOKUP(USO_ZONA!$A410,MACROZONAS!B:B,MACROZONAS!A:A)</f>
        <v>5</v>
      </c>
      <c r="H410" s="37">
        <f t="array" ref="H410">XLOOKUP(USO_ZONA!$C410,USOS!H:H,USOS!G:G)</f>
        <v>76</v>
      </c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</row>
    <row r="411" ht="27.75" hidden="1" customHeight="1">
      <c r="A411" s="39" t="s">
        <v>29</v>
      </c>
      <c r="B411" s="39">
        <v>76.0</v>
      </c>
      <c r="C411" s="39" t="s">
        <v>345</v>
      </c>
      <c r="D411" s="39" t="s">
        <v>251</v>
      </c>
      <c r="E411" s="39"/>
      <c r="F411" s="39">
        <v>410.0</v>
      </c>
      <c r="G411" s="39">
        <f t="array" ref="G411">XLOOKUP(USO_ZONA!$A411,MACROZONAS!B:B,MACROZONAS!A:A)</f>
        <v>6</v>
      </c>
      <c r="H411" s="39">
        <f t="array" ref="H411">XLOOKUP(USO_ZONA!$C411,USOS!H:H,USOS!G:G)</f>
        <v>76</v>
      </c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</row>
    <row r="412" ht="27.75" hidden="1" customHeight="1">
      <c r="A412" s="37" t="s">
        <v>33</v>
      </c>
      <c r="B412" s="37">
        <v>77.0</v>
      </c>
      <c r="C412" s="37" t="s">
        <v>346</v>
      </c>
      <c r="D412" s="37" t="s">
        <v>252</v>
      </c>
      <c r="E412" s="38" t="s">
        <v>334</v>
      </c>
      <c r="F412" s="37">
        <v>411.0</v>
      </c>
      <c r="G412" s="37">
        <f t="array" ref="G412">XLOOKUP(USO_ZONA!$A412,MACROZONAS!B:B,MACROZONAS!A:A)</f>
        <v>1</v>
      </c>
      <c r="H412" s="37">
        <f t="array" ref="H412">XLOOKUP(USO_ZONA!$C412,USOS!H:H,USOS!G:G)</f>
        <v>77</v>
      </c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</row>
    <row r="413" ht="27.75" hidden="1" customHeight="1">
      <c r="A413" s="39" t="s">
        <v>28</v>
      </c>
      <c r="B413" s="39">
        <v>77.0</v>
      </c>
      <c r="C413" s="39" t="s">
        <v>346</v>
      </c>
      <c r="D413" s="39" t="s">
        <v>252</v>
      </c>
      <c r="E413" s="40" t="s">
        <v>334</v>
      </c>
      <c r="F413" s="39">
        <v>412.0</v>
      </c>
      <c r="G413" s="39">
        <f t="array" ref="G413">XLOOKUP(USO_ZONA!$A413,MACROZONAS!B:B,MACROZONAS!A:A)</f>
        <v>2</v>
      </c>
      <c r="H413" s="39">
        <f t="array" ref="H413">XLOOKUP(USO_ZONA!$C413,USOS!H:H,USOS!G:G)</f>
        <v>77</v>
      </c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</row>
    <row r="414" ht="27.75" hidden="1" customHeight="1">
      <c r="A414" s="37" t="s">
        <v>42</v>
      </c>
      <c r="B414" s="37">
        <v>77.0</v>
      </c>
      <c r="C414" s="37" t="s">
        <v>346</v>
      </c>
      <c r="D414" s="37" t="s">
        <v>252</v>
      </c>
      <c r="E414" s="38" t="s">
        <v>334</v>
      </c>
      <c r="F414" s="37">
        <v>413.0</v>
      </c>
      <c r="G414" s="37">
        <f t="array" ref="G414">XLOOKUP(USO_ZONA!$A414,MACROZONAS!B:B,MACROZONAS!A:A)</f>
        <v>3</v>
      </c>
      <c r="H414" s="37">
        <f t="array" ref="H414">XLOOKUP(USO_ZONA!$C414,USOS!H:H,USOS!G:G)</f>
        <v>77</v>
      </c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</row>
    <row r="415" ht="27.75" hidden="1" customHeight="1">
      <c r="A415" s="39" t="s">
        <v>18</v>
      </c>
      <c r="B415" s="39">
        <v>77.0</v>
      </c>
      <c r="C415" s="39" t="s">
        <v>346</v>
      </c>
      <c r="D415" s="39" t="s">
        <v>252</v>
      </c>
      <c r="E415" s="40" t="s">
        <v>334</v>
      </c>
      <c r="F415" s="39">
        <v>414.0</v>
      </c>
      <c r="G415" s="39">
        <f t="array" ref="G415">XLOOKUP(USO_ZONA!$A415,MACROZONAS!B:B,MACROZONAS!A:A)</f>
        <v>4</v>
      </c>
      <c r="H415" s="39">
        <f t="array" ref="H415">XLOOKUP(USO_ZONA!$C415,USOS!H:H,USOS!G:G)</f>
        <v>77</v>
      </c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</row>
    <row r="416" ht="27.75" hidden="1" customHeight="1">
      <c r="A416" s="37" t="s">
        <v>39</v>
      </c>
      <c r="B416" s="37">
        <v>77.0</v>
      </c>
      <c r="C416" s="37" t="s">
        <v>346</v>
      </c>
      <c r="D416" s="37" t="s">
        <v>251</v>
      </c>
      <c r="E416" s="37"/>
      <c r="F416" s="37">
        <v>415.0</v>
      </c>
      <c r="G416" s="37">
        <f t="array" ref="G416">XLOOKUP(USO_ZONA!$A416,MACROZONAS!B:B,MACROZONAS!A:A)</f>
        <v>5</v>
      </c>
      <c r="H416" s="37">
        <f t="array" ref="H416">XLOOKUP(USO_ZONA!$C416,USOS!H:H,USOS!G:G)</f>
        <v>77</v>
      </c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</row>
    <row r="417" ht="27.75" hidden="1" customHeight="1">
      <c r="A417" s="39" t="s">
        <v>29</v>
      </c>
      <c r="B417" s="39">
        <v>77.0</v>
      </c>
      <c r="C417" s="39" t="s">
        <v>346</v>
      </c>
      <c r="D417" s="39" t="s">
        <v>251</v>
      </c>
      <c r="E417" s="39"/>
      <c r="F417" s="39">
        <v>416.0</v>
      </c>
      <c r="G417" s="39">
        <f t="array" ref="G417">XLOOKUP(USO_ZONA!$A417,MACROZONAS!B:B,MACROZONAS!A:A)</f>
        <v>6</v>
      </c>
      <c r="H417" s="39">
        <f t="array" ref="H417">XLOOKUP(USO_ZONA!$C417,USOS!H:H,USOS!G:G)</f>
        <v>77</v>
      </c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</row>
    <row r="418" ht="27.75" hidden="1" customHeight="1">
      <c r="A418" s="37" t="s">
        <v>33</v>
      </c>
      <c r="B418" s="37">
        <v>78.0</v>
      </c>
      <c r="C418" s="37" t="s">
        <v>347</v>
      </c>
      <c r="D418" s="37" t="s">
        <v>252</v>
      </c>
      <c r="E418" s="38" t="s">
        <v>334</v>
      </c>
      <c r="F418" s="37">
        <v>417.0</v>
      </c>
      <c r="G418" s="37">
        <f t="array" ref="G418">XLOOKUP(USO_ZONA!$A418,MACROZONAS!B:B,MACROZONAS!A:A)</f>
        <v>1</v>
      </c>
      <c r="H418" s="37">
        <f t="array" ref="H418">XLOOKUP(USO_ZONA!$C418,USOS!H:H,USOS!G:G)</f>
        <v>78</v>
      </c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</row>
    <row r="419" ht="27.75" hidden="1" customHeight="1">
      <c r="A419" s="39" t="s">
        <v>28</v>
      </c>
      <c r="B419" s="39">
        <v>78.0</v>
      </c>
      <c r="C419" s="39" t="s">
        <v>347</v>
      </c>
      <c r="D419" s="39" t="s">
        <v>252</v>
      </c>
      <c r="E419" s="40" t="s">
        <v>334</v>
      </c>
      <c r="F419" s="39">
        <v>418.0</v>
      </c>
      <c r="G419" s="39">
        <f t="array" ref="G419">XLOOKUP(USO_ZONA!$A419,MACROZONAS!B:B,MACROZONAS!A:A)</f>
        <v>2</v>
      </c>
      <c r="H419" s="39">
        <f t="array" ref="H419">XLOOKUP(USO_ZONA!$C419,USOS!H:H,USOS!G:G)</f>
        <v>78</v>
      </c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</row>
    <row r="420" ht="27.75" hidden="1" customHeight="1">
      <c r="A420" s="37" t="s">
        <v>42</v>
      </c>
      <c r="B420" s="37">
        <v>78.0</v>
      </c>
      <c r="C420" s="37" t="s">
        <v>347</v>
      </c>
      <c r="D420" s="37" t="s">
        <v>252</v>
      </c>
      <c r="E420" s="38" t="s">
        <v>334</v>
      </c>
      <c r="F420" s="37">
        <v>419.0</v>
      </c>
      <c r="G420" s="37">
        <f t="array" ref="G420">XLOOKUP(USO_ZONA!$A420,MACROZONAS!B:B,MACROZONAS!A:A)</f>
        <v>3</v>
      </c>
      <c r="H420" s="37">
        <f t="array" ref="H420">XLOOKUP(USO_ZONA!$C420,USOS!H:H,USOS!G:G)</f>
        <v>78</v>
      </c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</row>
    <row r="421" ht="27.75" hidden="1" customHeight="1">
      <c r="A421" s="39" t="s">
        <v>18</v>
      </c>
      <c r="B421" s="39">
        <v>78.0</v>
      </c>
      <c r="C421" s="39" t="s">
        <v>347</v>
      </c>
      <c r="D421" s="39" t="s">
        <v>252</v>
      </c>
      <c r="E421" s="40" t="s">
        <v>334</v>
      </c>
      <c r="F421" s="39">
        <v>420.0</v>
      </c>
      <c r="G421" s="39">
        <f t="array" ref="G421">XLOOKUP(USO_ZONA!$A421,MACROZONAS!B:B,MACROZONAS!A:A)</f>
        <v>4</v>
      </c>
      <c r="H421" s="39">
        <f t="array" ref="H421">XLOOKUP(USO_ZONA!$C421,USOS!H:H,USOS!G:G)</f>
        <v>78</v>
      </c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</row>
    <row r="422" ht="27.75" hidden="1" customHeight="1">
      <c r="A422" s="37" t="s">
        <v>39</v>
      </c>
      <c r="B422" s="37">
        <v>78.0</v>
      </c>
      <c r="C422" s="37" t="s">
        <v>347</v>
      </c>
      <c r="D422" s="37" t="s">
        <v>251</v>
      </c>
      <c r="E422" s="37"/>
      <c r="F422" s="37">
        <v>421.0</v>
      </c>
      <c r="G422" s="37">
        <f t="array" ref="G422">XLOOKUP(USO_ZONA!$A422,MACROZONAS!B:B,MACROZONAS!A:A)</f>
        <v>5</v>
      </c>
      <c r="H422" s="37">
        <f t="array" ref="H422">XLOOKUP(USO_ZONA!$C422,USOS!H:H,USOS!G:G)</f>
        <v>78</v>
      </c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</row>
    <row r="423" ht="27.75" hidden="1" customHeight="1">
      <c r="A423" s="39" t="s">
        <v>29</v>
      </c>
      <c r="B423" s="39">
        <v>78.0</v>
      </c>
      <c r="C423" s="39" t="s">
        <v>347</v>
      </c>
      <c r="D423" s="39" t="s">
        <v>251</v>
      </c>
      <c r="E423" s="39"/>
      <c r="F423" s="39">
        <v>422.0</v>
      </c>
      <c r="G423" s="39">
        <f t="array" ref="G423">XLOOKUP(USO_ZONA!$A423,MACROZONAS!B:B,MACROZONAS!A:A)</f>
        <v>6</v>
      </c>
      <c r="H423" s="39">
        <f t="array" ref="H423">XLOOKUP(USO_ZONA!$C423,USOS!H:H,USOS!G:G)</f>
        <v>78</v>
      </c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</row>
    <row r="424" ht="27.75" hidden="1" customHeight="1">
      <c r="A424" s="37" t="s">
        <v>33</v>
      </c>
      <c r="B424" s="37">
        <v>79.0</v>
      </c>
      <c r="C424" s="37" t="s">
        <v>348</v>
      </c>
      <c r="D424" s="37" t="s">
        <v>252</v>
      </c>
      <c r="E424" s="38" t="s">
        <v>334</v>
      </c>
      <c r="F424" s="37">
        <v>423.0</v>
      </c>
      <c r="G424" s="37">
        <f t="array" ref="G424">XLOOKUP(USO_ZONA!$A424,MACROZONAS!B:B,MACROZONAS!A:A)</f>
        <v>1</v>
      </c>
      <c r="H424" s="37">
        <f t="array" ref="H424">XLOOKUP(USO_ZONA!$C424,USOS!H:H,USOS!G:G)</f>
        <v>79</v>
      </c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</row>
    <row r="425" ht="27.75" hidden="1" customHeight="1">
      <c r="A425" s="39" t="s">
        <v>28</v>
      </c>
      <c r="B425" s="39">
        <v>79.0</v>
      </c>
      <c r="C425" s="39" t="s">
        <v>348</v>
      </c>
      <c r="D425" s="39" t="s">
        <v>252</v>
      </c>
      <c r="E425" s="40" t="s">
        <v>334</v>
      </c>
      <c r="F425" s="39">
        <v>424.0</v>
      </c>
      <c r="G425" s="39">
        <f t="array" ref="G425">XLOOKUP(USO_ZONA!$A425,MACROZONAS!B:B,MACROZONAS!A:A)</f>
        <v>2</v>
      </c>
      <c r="H425" s="39">
        <f t="array" ref="H425">XLOOKUP(USO_ZONA!$C425,USOS!H:H,USOS!G:G)</f>
        <v>79</v>
      </c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</row>
    <row r="426" ht="27.75" hidden="1" customHeight="1">
      <c r="A426" s="37" t="s">
        <v>42</v>
      </c>
      <c r="B426" s="37">
        <v>79.0</v>
      </c>
      <c r="C426" s="37" t="s">
        <v>348</v>
      </c>
      <c r="D426" s="37" t="s">
        <v>252</v>
      </c>
      <c r="E426" s="38" t="s">
        <v>334</v>
      </c>
      <c r="F426" s="37">
        <v>425.0</v>
      </c>
      <c r="G426" s="37">
        <f t="array" ref="G426">XLOOKUP(USO_ZONA!$A426,MACROZONAS!B:B,MACROZONAS!A:A)</f>
        <v>3</v>
      </c>
      <c r="H426" s="37">
        <f t="array" ref="H426">XLOOKUP(USO_ZONA!$C426,USOS!H:H,USOS!G:G)</f>
        <v>79</v>
      </c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</row>
    <row r="427" ht="27.75" hidden="1" customHeight="1">
      <c r="A427" s="39" t="s">
        <v>18</v>
      </c>
      <c r="B427" s="39">
        <v>79.0</v>
      </c>
      <c r="C427" s="39" t="s">
        <v>348</v>
      </c>
      <c r="D427" s="39" t="s">
        <v>252</v>
      </c>
      <c r="E427" s="40" t="s">
        <v>334</v>
      </c>
      <c r="F427" s="39">
        <v>426.0</v>
      </c>
      <c r="G427" s="39">
        <f t="array" ref="G427">XLOOKUP(USO_ZONA!$A427,MACROZONAS!B:B,MACROZONAS!A:A)</f>
        <v>4</v>
      </c>
      <c r="H427" s="39">
        <f t="array" ref="H427">XLOOKUP(USO_ZONA!$C427,USOS!H:H,USOS!G:G)</f>
        <v>79</v>
      </c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</row>
    <row r="428" ht="27.75" hidden="1" customHeight="1">
      <c r="A428" s="37" t="s">
        <v>39</v>
      </c>
      <c r="B428" s="37">
        <v>79.0</v>
      </c>
      <c r="C428" s="37" t="s">
        <v>348</v>
      </c>
      <c r="D428" s="37" t="s">
        <v>251</v>
      </c>
      <c r="E428" s="37"/>
      <c r="F428" s="37">
        <v>427.0</v>
      </c>
      <c r="G428" s="37">
        <f t="array" ref="G428">XLOOKUP(USO_ZONA!$A428,MACROZONAS!B:B,MACROZONAS!A:A)</f>
        <v>5</v>
      </c>
      <c r="H428" s="37">
        <f t="array" ref="H428">XLOOKUP(USO_ZONA!$C428,USOS!H:H,USOS!G:G)</f>
        <v>79</v>
      </c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</row>
    <row r="429" ht="27.75" hidden="1" customHeight="1">
      <c r="A429" s="39" t="s">
        <v>29</v>
      </c>
      <c r="B429" s="39">
        <v>79.0</v>
      </c>
      <c r="C429" s="39" t="s">
        <v>348</v>
      </c>
      <c r="D429" s="39" t="s">
        <v>251</v>
      </c>
      <c r="E429" s="39"/>
      <c r="F429" s="39">
        <v>428.0</v>
      </c>
      <c r="G429" s="39">
        <f t="array" ref="G429">XLOOKUP(USO_ZONA!$A429,MACROZONAS!B:B,MACROZONAS!A:A)</f>
        <v>6</v>
      </c>
      <c r="H429" s="39">
        <f t="array" ref="H429">XLOOKUP(USO_ZONA!$C429,USOS!H:H,USOS!G:G)</f>
        <v>79</v>
      </c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</row>
    <row r="430" ht="27.75" hidden="1" customHeight="1">
      <c r="A430" s="37" t="s">
        <v>33</v>
      </c>
      <c r="B430" s="37">
        <v>80.0</v>
      </c>
      <c r="C430" s="37" t="s">
        <v>349</v>
      </c>
      <c r="D430" s="37" t="s">
        <v>252</v>
      </c>
      <c r="E430" s="38" t="s">
        <v>334</v>
      </c>
      <c r="F430" s="37">
        <v>429.0</v>
      </c>
      <c r="G430" s="37">
        <f t="array" ref="G430">XLOOKUP(USO_ZONA!$A430,MACROZONAS!B:B,MACROZONAS!A:A)</f>
        <v>1</v>
      </c>
      <c r="H430" s="37">
        <f t="array" ref="H430">XLOOKUP(USO_ZONA!$C430,USOS!H:H,USOS!G:G)</f>
        <v>80</v>
      </c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</row>
    <row r="431" ht="27.75" hidden="1" customHeight="1">
      <c r="A431" s="39" t="s">
        <v>28</v>
      </c>
      <c r="B431" s="39">
        <v>80.0</v>
      </c>
      <c r="C431" s="39" t="s">
        <v>349</v>
      </c>
      <c r="D431" s="39" t="s">
        <v>252</v>
      </c>
      <c r="E431" s="40" t="s">
        <v>334</v>
      </c>
      <c r="F431" s="39">
        <v>430.0</v>
      </c>
      <c r="G431" s="39">
        <f t="array" ref="G431">XLOOKUP(USO_ZONA!$A431,MACROZONAS!B:B,MACROZONAS!A:A)</f>
        <v>2</v>
      </c>
      <c r="H431" s="39">
        <f t="array" ref="H431">XLOOKUP(USO_ZONA!$C431,USOS!H:H,USOS!G:G)</f>
        <v>80</v>
      </c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</row>
    <row r="432" ht="27.75" hidden="1" customHeight="1">
      <c r="A432" s="37" t="s">
        <v>42</v>
      </c>
      <c r="B432" s="37">
        <v>80.0</v>
      </c>
      <c r="C432" s="37" t="s">
        <v>349</v>
      </c>
      <c r="D432" s="37" t="s">
        <v>252</v>
      </c>
      <c r="E432" s="38" t="s">
        <v>334</v>
      </c>
      <c r="F432" s="37">
        <v>431.0</v>
      </c>
      <c r="G432" s="37">
        <f t="array" ref="G432">XLOOKUP(USO_ZONA!$A432,MACROZONAS!B:B,MACROZONAS!A:A)</f>
        <v>3</v>
      </c>
      <c r="H432" s="37">
        <f t="array" ref="H432">XLOOKUP(USO_ZONA!$C432,USOS!H:H,USOS!G:G)</f>
        <v>80</v>
      </c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</row>
    <row r="433" ht="27.75" hidden="1" customHeight="1">
      <c r="A433" s="39" t="s">
        <v>18</v>
      </c>
      <c r="B433" s="39">
        <v>80.0</v>
      </c>
      <c r="C433" s="39" t="s">
        <v>349</v>
      </c>
      <c r="D433" s="39" t="s">
        <v>252</v>
      </c>
      <c r="E433" s="40" t="s">
        <v>334</v>
      </c>
      <c r="F433" s="39">
        <v>432.0</v>
      </c>
      <c r="G433" s="39">
        <f t="array" ref="G433">XLOOKUP(USO_ZONA!$A433,MACROZONAS!B:B,MACROZONAS!A:A)</f>
        <v>4</v>
      </c>
      <c r="H433" s="39">
        <f t="array" ref="H433">XLOOKUP(USO_ZONA!$C433,USOS!H:H,USOS!G:G)</f>
        <v>80</v>
      </c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</row>
    <row r="434" ht="27.75" hidden="1" customHeight="1">
      <c r="A434" s="37" t="s">
        <v>39</v>
      </c>
      <c r="B434" s="37">
        <v>80.0</v>
      </c>
      <c r="C434" s="37" t="s">
        <v>349</v>
      </c>
      <c r="D434" s="37" t="s">
        <v>251</v>
      </c>
      <c r="E434" s="37"/>
      <c r="F434" s="37">
        <v>433.0</v>
      </c>
      <c r="G434" s="37">
        <f t="array" ref="G434">XLOOKUP(USO_ZONA!$A434,MACROZONAS!B:B,MACROZONAS!A:A)</f>
        <v>5</v>
      </c>
      <c r="H434" s="37">
        <f t="array" ref="H434">XLOOKUP(USO_ZONA!$C434,USOS!H:H,USOS!G:G)</f>
        <v>80</v>
      </c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</row>
    <row r="435" ht="27.75" hidden="1" customHeight="1">
      <c r="A435" s="39" t="s">
        <v>29</v>
      </c>
      <c r="B435" s="39">
        <v>80.0</v>
      </c>
      <c r="C435" s="39" t="s">
        <v>349</v>
      </c>
      <c r="D435" s="39" t="s">
        <v>251</v>
      </c>
      <c r="E435" s="39"/>
      <c r="F435" s="39">
        <v>434.0</v>
      </c>
      <c r="G435" s="39">
        <f t="array" ref="G435">XLOOKUP(USO_ZONA!$A435,MACROZONAS!B:B,MACROZONAS!A:A)</f>
        <v>6</v>
      </c>
      <c r="H435" s="39">
        <f t="array" ref="H435">XLOOKUP(USO_ZONA!$C435,USOS!H:H,USOS!G:G)</f>
        <v>80</v>
      </c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</row>
    <row r="436" ht="27.75" hidden="1" customHeight="1">
      <c r="A436" s="37" t="s">
        <v>33</v>
      </c>
      <c r="B436" s="37">
        <v>81.0</v>
      </c>
      <c r="C436" s="37" t="s">
        <v>350</v>
      </c>
      <c r="D436" s="37" t="s">
        <v>252</v>
      </c>
      <c r="E436" s="38" t="s">
        <v>334</v>
      </c>
      <c r="F436" s="37">
        <v>435.0</v>
      </c>
      <c r="G436" s="37">
        <f t="array" ref="G436">XLOOKUP(USO_ZONA!$A436,MACROZONAS!B:B,MACROZONAS!A:A)</f>
        <v>1</v>
      </c>
      <c r="H436" s="37">
        <f t="array" ref="H436">XLOOKUP(USO_ZONA!$C436,USOS!H:H,USOS!G:G)</f>
        <v>81</v>
      </c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</row>
    <row r="437" ht="27.75" hidden="1" customHeight="1">
      <c r="A437" s="39" t="s">
        <v>28</v>
      </c>
      <c r="B437" s="39">
        <v>81.0</v>
      </c>
      <c r="C437" s="39" t="s">
        <v>350</v>
      </c>
      <c r="D437" s="39" t="s">
        <v>252</v>
      </c>
      <c r="E437" s="40" t="s">
        <v>334</v>
      </c>
      <c r="F437" s="39">
        <v>436.0</v>
      </c>
      <c r="G437" s="39">
        <f t="array" ref="G437">XLOOKUP(USO_ZONA!$A437,MACROZONAS!B:B,MACROZONAS!A:A)</f>
        <v>2</v>
      </c>
      <c r="H437" s="39">
        <f t="array" ref="H437">XLOOKUP(USO_ZONA!$C437,USOS!H:H,USOS!G:G)</f>
        <v>81</v>
      </c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</row>
    <row r="438" ht="27.75" hidden="1" customHeight="1">
      <c r="A438" s="37" t="s">
        <v>42</v>
      </c>
      <c r="B438" s="37">
        <v>81.0</v>
      </c>
      <c r="C438" s="37" t="s">
        <v>350</v>
      </c>
      <c r="D438" s="37" t="s">
        <v>252</v>
      </c>
      <c r="E438" s="38" t="s">
        <v>334</v>
      </c>
      <c r="F438" s="37">
        <v>437.0</v>
      </c>
      <c r="G438" s="37">
        <f t="array" ref="G438">XLOOKUP(USO_ZONA!$A438,MACROZONAS!B:B,MACROZONAS!A:A)</f>
        <v>3</v>
      </c>
      <c r="H438" s="37">
        <f t="array" ref="H438">XLOOKUP(USO_ZONA!$C438,USOS!H:H,USOS!G:G)</f>
        <v>81</v>
      </c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</row>
    <row r="439" ht="27.75" hidden="1" customHeight="1">
      <c r="A439" s="39" t="s">
        <v>18</v>
      </c>
      <c r="B439" s="39">
        <v>81.0</v>
      </c>
      <c r="C439" s="39" t="s">
        <v>350</v>
      </c>
      <c r="D439" s="39" t="s">
        <v>252</v>
      </c>
      <c r="E439" s="40" t="s">
        <v>334</v>
      </c>
      <c r="F439" s="39">
        <v>438.0</v>
      </c>
      <c r="G439" s="39">
        <f t="array" ref="G439">XLOOKUP(USO_ZONA!$A439,MACROZONAS!B:B,MACROZONAS!A:A)</f>
        <v>4</v>
      </c>
      <c r="H439" s="39">
        <f t="array" ref="H439">XLOOKUP(USO_ZONA!$C439,USOS!H:H,USOS!G:G)</f>
        <v>81</v>
      </c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</row>
    <row r="440" ht="27.75" hidden="1" customHeight="1">
      <c r="A440" s="37" t="s">
        <v>39</v>
      </c>
      <c r="B440" s="37">
        <v>81.0</v>
      </c>
      <c r="C440" s="37" t="s">
        <v>350</v>
      </c>
      <c r="D440" s="37" t="s">
        <v>251</v>
      </c>
      <c r="E440" s="37"/>
      <c r="F440" s="37">
        <v>439.0</v>
      </c>
      <c r="G440" s="37">
        <f t="array" ref="G440">XLOOKUP(USO_ZONA!$A440,MACROZONAS!B:B,MACROZONAS!A:A)</f>
        <v>5</v>
      </c>
      <c r="H440" s="37">
        <f t="array" ref="H440">XLOOKUP(USO_ZONA!$C440,USOS!H:H,USOS!G:G)</f>
        <v>81</v>
      </c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</row>
    <row r="441" ht="27.75" hidden="1" customHeight="1">
      <c r="A441" s="39" t="s">
        <v>29</v>
      </c>
      <c r="B441" s="39">
        <v>81.0</v>
      </c>
      <c r="C441" s="39" t="s">
        <v>350</v>
      </c>
      <c r="D441" s="39" t="s">
        <v>251</v>
      </c>
      <c r="E441" s="39"/>
      <c r="F441" s="39">
        <v>440.0</v>
      </c>
      <c r="G441" s="39">
        <f t="array" ref="G441">XLOOKUP(USO_ZONA!$A441,MACROZONAS!B:B,MACROZONAS!A:A)</f>
        <v>6</v>
      </c>
      <c r="H441" s="39">
        <f t="array" ref="H441">XLOOKUP(USO_ZONA!$C441,USOS!H:H,USOS!G:G)</f>
        <v>81</v>
      </c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</row>
    <row r="442" ht="27.75" hidden="1" customHeight="1">
      <c r="A442" s="37" t="s">
        <v>33</v>
      </c>
      <c r="B442" s="37">
        <v>82.0</v>
      </c>
      <c r="C442" s="37" t="s">
        <v>351</v>
      </c>
      <c r="D442" s="37" t="s">
        <v>252</v>
      </c>
      <c r="E442" s="38" t="s">
        <v>334</v>
      </c>
      <c r="F442" s="37">
        <v>441.0</v>
      </c>
      <c r="G442" s="37">
        <f t="array" ref="G442">XLOOKUP(USO_ZONA!$A442,MACROZONAS!B:B,MACROZONAS!A:A)</f>
        <v>1</v>
      </c>
      <c r="H442" s="37">
        <f t="array" ref="H442">XLOOKUP(USO_ZONA!$C442,USOS!H:H,USOS!G:G)</f>
        <v>82</v>
      </c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</row>
    <row r="443" ht="27.75" hidden="1" customHeight="1">
      <c r="A443" s="39" t="s">
        <v>28</v>
      </c>
      <c r="B443" s="39">
        <v>82.0</v>
      </c>
      <c r="C443" s="39" t="s">
        <v>351</v>
      </c>
      <c r="D443" s="39" t="s">
        <v>252</v>
      </c>
      <c r="E443" s="40" t="s">
        <v>334</v>
      </c>
      <c r="F443" s="39">
        <v>442.0</v>
      </c>
      <c r="G443" s="39">
        <f t="array" ref="G443">XLOOKUP(USO_ZONA!$A443,MACROZONAS!B:B,MACROZONAS!A:A)</f>
        <v>2</v>
      </c>
      <c r="H443" s="39">
        <f t="array" ref="H443">XLOOKUP(USO_ZONA!$C443,USOS!H:H,USOS!G:G)</f>
        <v>82</v>
      </c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</row>
    <row r="444" ht="27.75" hidden="1" customHeight="1">
      <c r="A444" s="37" t="s">
        <v>42</v>
      </c>
      <c r="B444" s="37">
        <v>82.0</v>
      </c>
      <c r="C444" s="37" t="s">
        <v>351</v>
      </c>
      <c r="D444" s="37" t="s">
        <v>252</v>
      </c>
      <c r="E444" s="38" t="s">
        <v>334</v>
      </c>
      <c r="F444" s="37">
        <v>443.0</v>
      </c>
      <c r="G444" s="37">
        <f t="array" ref="G444">XLOOKUP(USO_ZONA!$A444,MACROZONAS!B:B,MACROZONAS!A:A)</f>
        <v>3</v>
      </c>
      <c r="H444" s="37">
        <f t="array" ref="H444">XLOOKUP(USO_ZONA!$C444,USOS!H:H,USOS!G:G)</f>
        <v>82</v>
      </c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</row>
    <row r="445" ht="27.75" hidden="1" customHeight="1">
      <c r="A445" s="39" t="s">
        <v>18</v>
      </c>
      <c r="B445" s="39">
        <v>82.0</v>
      </c>
      <c r="C445" s="39" t="s">
        <v>351</v>
      </c>
      <c r="D445" s="39" t="s">
        <v>252</v>
      </c>
      <c r="E445" s="40" t="s">
        <v>334</v>
      </c>
      <c r="F445" s="39">
        <v>444.0</v>
      </c>
      <c r="G445" s="39">
        <f t="array" ref="G445">XLOOKUP(USO_ZONA!$A445,MACROZONAS!B:B,MACROZONAS!A:A)</f>
        <v>4</v>
      </c>
      <c r="H445" s="39">
        <f t="array" ref="H445">XLOOKUP(USO_ZONA!$C445,USOS!H:H,USOS!G:G)</f>
        <v>82</v>
      </c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</row>
    <row r="446" ht="27.75" hidden="1" customHeight="1">
      <c r="A446" s="37" t="s">
        <v>39</v>
      </c>
      <c r="B446" s="37">
        <v>82.0</v>
      </c>
      <c r="C446" s="37" t="s">
        <v>351</v>
      </c>
      <c r="D446" s="37" t="s">
        <v>251</v>
      </c>
      <c r="E446" s="37"/>
      <c r="F446" s="37">
        <v>445.0</v>
      </c>
      <c r="G446" s="37">
        <f t="array" ref="G446">XLOOKUP(USO_ZONA!$A446,MACROZONAS!B:B,MACROZONAS!A:A)</f>
        <v>5</v>
      </c>
      <c r="H446" s="37">
        <f t="array" ref="H446">XLOOKUP(USO_ZONA!$C446,USOS!H:H,USOS!G:G)</f>
        <v>82</v>
      </c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</row>
    <row r="447" ht="27.75" hidden="1" customHeight="1">
      <c r="A447" s="39" t="s">
        <v>29</v>
      </c>
      <c r="B447" s="39">
        <v>82.0</v>
      </c>
      <c r="C447" s="39" t="s">
        <v>351</v>
      </c>
      <c r="D447" s="39" t="s">
        <v>251</v>
      </c>
      <c r="E447" s="39"/>
      <c r="F447" s="39">
        <v>446.0</v>
      </c>
      <c r="G447" s="39">
        <f t="array" ref="G447">XLOOKUP(USO_ZONA!$A447,MACROZONAS!B:B,MACROZONAS!A:A)</f>
        <v>6</v>
      </c>
      <c r="H447" s="39">
        <f t="array" ref="H447">XLOOKUP(USO_ZONA!$C447,USOS!H:H,USOS!G:G)</f>
        <v>82</v>
      </c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</row>
    <row r="448" ht="27.75" hidden="1" customHeight="1">
      <c r="A448" s="37" t="s">
        <v>33</v>
      </c>
      <c r="B448" s="37">
        <v>83.0</v>
      </c>
      <c r="C448" s="37" t="s">
        <v>352</v>
      </c>
      <c r="D448" s="37" t="s">
        <v>252</v>
      </c>
      <c r="E448" s="38" t="s">
        <v>334</v>
      </c>
      <c r="F448" s="37">
        <v>447.0</v>
      </c>
      <c r="G448" s="37">
        <f t="array" ref="G448">XLOOKUP(USO_ZONA!$A448,MACROZONAS!B:B,MACROZONAS!A:A)</f>
        <v>1</v>
      </c>
      <c r="H448" s="37">
        <f t="array" ref="H448">XLOOKUP(USO_ZONA!$C448,USOS!H:H,USOS!G:G)</f>
        <v>83</v>
      </c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</row>
    <row r="449" ht="27.75" hidden="1" customHeight="1">
      <c r="A449" s="39" t="s">
        <v>28</v>
      </c>
      <c r="B449" s="39">
        <v>83.0</v>
      </c>
      <c r="C449" s="39" t="s">
        <v>352</v>
      </c>
      <c r="D449" s="39" t="s">
        <v>252</v>
      </c>
      <c r="E449" s="40" t="s">
        <v>334</v>
      </c>
      <c r="F449" s="39">
        <v>448.0</v>
      </c>
      <c r="G449" s="39">
        <f t="array" ref="G449">XLOOKUP(USO_ZONA!$A449,MACROZONAS!B:B,MACROZONAS!A:A)</f>
        <v>2</v>
      </c>
      <c r="H449" s="39">
        <f t="array" ref="H449">XLOOKUP(USO_ZONA!$C449,USOS!H:H,USOS!G:G)</f>
        <v>83</v>
      </c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</row>
    <row r="450" ht="27.75" hidden="1" customHeight="1">
      <c r="A450" s="37" t="s">
        <v>42</v>
      </c>
      <c r="B450" s="37">
        <v>83.0</v>
      </c>
      <c r="C450" s="37" t="s">
        <v>352</v>
      </c>
      <c r="D450" s="37" t="s">
        <v>252</v>
      </c>
      <c r="E450" s="38" t="s">
        <v>334</v>
      </c>
      <c r="F450" s="37">
        <v>449.0</v>
      </c>
      <c r="G450" s="37">
        <f t="array" ref="G450">XLOOKUP(USO_ZONA!$A450,MACROZONAS!B:B,MACROZONAS!A:A)</f>
        <v>3</v>
      </c>
      <c r="H450" s="37">
        <f t="array" ref="H450">XLOOKUP(USO_ZONA!$C450,USOS!H:H,USOS!G:G)</f>
        <v>83</v>
      </c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</row>
    <row r="451" ht="27.75" hidden="1" customHeight="1">
      <c r="A451" s="39" t="s">
        <v>18</v>
      </c>
      <c r="B451" s="39">
        <v>83.0</v>
      </c>
      <c r="C451" s="39" t="s">
        <v>352</v>
      </c>
      <c r="D451" s="39" t="s">
        <v>252</v>
      </c>
      <c r="E451" s="40" t="s">
        <v>334</v>
      </c>
      <c r="F451" s="39">
        <v>450.0</v>
      </c>
      <c r="G451" s="39">
        <f t="array" ref="G451">XLOOKUP(USO_ZONA!$A451,MACROZONAS!B:B,MACROZONAS!A:A)</f>
        <v>4</v>
      </c>
      <c r="H451" s="39">
        <f t="array" ref="H451">XLOOKUP(USO_ZONA!$C451,USOS!H:H,USOS!G:G)</f>
        <v>83</v>
      </c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</row>
    <row r="452" ht="27.75" hidden="1" customHeight="1">
      <c r="A452" s="37" t="s">
        <v>39</v>
      </c>
      <c r="B452" s="37">
        <v>83.0</v>
      </c>
      <c r="C452" s="37" t="s">
        <v>352</v>
      </c>
      <c r="D452" s="37" t="s">
        <v>251</v>
      </c>
      <c r="E452" s="37"/>
      <c r="F452" s="37">
        <v>451.0</v>
      </c>
      <c r="G452" s="37">
        <f t="array" ref="G452">XLOOKUP(USO_ZONA!$A452,MACROZONAS!B:B,MACROZONAS!A:A)</f>
        <v>5</v>
      </c>
      <c r="H452" s="37">
        <f t="array" ref="H452">XLOOKUP(USO_ZONA!$C452,USOS!H:H,USOS!G:G)</f>
        <v>83</v>
      </c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</row>
    <row r="453" ht="27.75" hidden="1" customHeight="1">
      <c r="A453" s="39" t="s">
        <v>29</v>
      </c>
      <c r="B453" s="39">
        <v>83.0</v>
      </c>
      <c r="C453" s="39" t="s">
        <v>352</v>
      </c>
      <c r="D453" s="39" t="s">
        <v>251</v>
      </c>
      <c r="E453" s="39"/>
      <c r="F453" s="39">
        <v>452.0</v>
      </c>
      <c r="G453" s="39">
        <f t="array" ref="G453">XLOOKUP(USO_ZONA!$A453,MACROZONAS!B:B,MACROZONAS!A:A)</f>
        <v>6</v>
      </c>
      <c r="H453" s="39">
        <f t="array" ref="H453">XLOOKUP(USO_ZONA!$C453,USOS!H:H,USOS!G:G)</f>
        <v>83</v>
      </c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</row>
    <row r="454" ht="27.75" hidden="1" customHeight="1">
      <c r="A454" s="37" t="s">
        <v>33</v>
      </c>
      <c r="B454" s="37">
        <v>85.0</v>
      </c>
      <c r="C454" s="37" t="s">
        <v>353</v>
      </c>
      <c r="D454" s="37" t="s">
        <v>252</v>
      </c>
      <c r="E454" s="38" t="s">
        <v>334</v>
      </c>
      <c r="F454" s="37">
        <v>453.0</v>
      </c>
      <c r="G454" s="37">
        <f t="array" ref="G454">XLOOKUP(USO_ZONA!$A454,MACROZONAS!B:B,MACROZONAS!A:A)</f>
        <v>1</v>
      </c>
      <c r="H454" s="37">
        <f t="array" ref="H454">XLOOKUP(USO_ZONA!$C454,USOS!H:H,USOS!G:G)</f>
        <v>85</v>
      </c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</row>
    <row r="455" ht="27.75" hidden="1" customHeight="1">
      <c r="A455" s="39" t="s">
        <v>28</v>
      </c>
      <c r="B455" s="39">
        <v>85.0</v>
      </c>
      <c r="C455" s="39" t="s">
        <v>353</v>
      </c>
      <c r="D455" s="39" t="s">
        <v>252</v>
      </c>
      <c r="E455" s="40" t="s">
        <v>334</v>
      </c>
      <c r="F455" s="39">
        <v>454.0</v>
      </c>
      <c r="G455" s="39">
        <f t="array" ref="G455">XLOOKUP(USO_ZONA!$A455,MACROZONAS!B:B,MACROZONAS!A:A)</f>
        <v>2</v>
      </c>
      <c r="H455" s="39">
        <f t="array" ref="H455">XLOOKUP(USO_ZONA!$C455,USOS!H:H,USOS!G:G)</f>
        <v>85</v>
      </c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</row>
    <row r="456" ht="27.75" hidden="1" customHeight="1">
      <c r="A456" s="37" t="s">
        <v>42</v>
      </c>
      <c r="B456" s="37">
        <v>85.0</v>
      </c>
      <c r="C456" s="37" t="s">
        <v>353</v>
      </c>
      <c r="D456" s="37" t="s">
        <v>252</v>
      </c>
      <c r="E456" s="38" t="s">
        <v>334</v>
      </c>
      <c r="F456" s="37">
        <v>455.0</v>
      </c>
      <c r="G456" s="37">
        <f t="array" ref="G456">XLOOKUP(USO_ZONA!$A456,MACROZONAS!B:B,MACROZONAS!A:A)</f>
        <v>3</v>
      </c>
      <c r="H456" s="37">
        <f t="array" ref="H456">XLOOKUP(USO_ZONA!$C456,USOS!H:H,USOS!G:G)</f>
        <v>85</v>
      </c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</row>
    <row r="457" ht="27.75" hidden="1" customHeight="1">
      <c r="A457" s="39" t="s">
        <v>18</v>
      </c>
      <c r="B457" s="39">
        <v>85.0</v>
      </c>
      <c r="C457" s="39" t="s">
        <v>353</v>
      </c>
      <c r="D457" s="39" t="s">
        <v>252</v>
      </c>
      <c r="E457" s="40" t="s">
        <v>334</v>
      </c>
      <c r="F457" s="39">
        <v>456.0</v>
      </c>
      <c r="G457" s="39">
        <f t="array" ref="G457">XLOOKUP(USO_ZONA!$A457,MACROZONAS!B:B,MACROZONAS!A:A)</f>
        <v>4</v>
      </c>
      <c r="H457" s="39">
        <f t="array" ref="H457">XLOOKUP(USO_ZONA!$C457,USOS!H:H,USOS!G:G)</f>
        <v>85</v>
      </c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</row>
    <row r="458" ht="27.75" hidden="1" customHeight="1">
      <c r="A458" s="37" t="s">
        <v>39</v>
      </c>
      <c r="B458" s="37">
        <v>85.0</v>
      </c>
      <c r="C458" s="37" t="s">
        <v>353</v>
      </c>
      <c r="D458" s="37" t="s">
        <v>251</v>
      </c>
      <c r="E458" s="37"/>
      <c r="F458" s="37">
        <v>457.0</v>
      </c>
      <c r="G458" s="37">
        <f t="array" ref="G458">XLOOKUP(USO_ZONA!$A458,MACROZONAS!B:B,MACROZONAS!A:A)</f>
        <v>5</v>
      </c>
      <c r="H458" s="37">
        <f t="array" ref="H458">XLOOKUP(USO_ZONA!$C458,USOS!H:H,USOS!G:G)</f>
        <v>85</v>
      </c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</row>
    <row r="459" ht="27.75" hidden="1" customHeight="1">
      <c r="A459" s="39" t="s">
        <v>29</v>
      </c>
      <c r="B459" s="39">
        <v>85.0</v>
      </c>
      <c r="C459" s="39" t="s">
        <v>353</v>
      </c>
      <c r="D459" s="39" t="s">
        <v>251</v>
      </c>
      <c r="E459" s="39"/>
      <c r="F459" s="39">
        <v>458.0</v>
      </c>
      <c r="G459" s="39">
        <f t="array" ref="G459">XLOOKUP(USO_ZONA!$A459,MACROZONAS!B:B,MACROZONAS!A:A)</f>
        <v>6</v>
      </c>
      <c r="H459" s="39">
        <f t="array" ref="H459">XLOOKUP(USO_ZONA!$C459,USOS!H:H,USOS!G:G)</f>
        <v>85</v>
      </c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</row>
    <row r="460" ht="27.75" hidden="1" customHeight="1">
      <c r="A460" s="37" t="s">
        <v>33</v>
      </c>
      <c r="B460" s="37">
        <v>86.0</v>
      </c>
      <c r="C460" s="37" t="s">
        <v>354</v>
      </c>
      <c r="D460" s="37" t="s">
        <v>252</v>
      </c>
      <c r="E460" s="38" t="s">
        <v>334</v>
      </c>
      <c r="F460" s="37">
        <v>459.0</v>
      </c>
      <c r="G460" s="37">
        <f t="array" ref="G460">XLOOKUP(USO_ZONA!$A460,MACROZONAS!B:B,MACROZONAS!A:A)</f>
        <v>1</v>
      </c>
      <c r="H460" s="37">
        <f t="array" ref="H460">XLOOKUP(USO_ZONA!$C460,USOS!H:H,USOS!G:G)</f>
        <v>86</v>
      </c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</row>
    <row r="461" ht="27.75" hidden="1" customHeight="1">
      <c r="A461" s="39" t="s">
        <v>28</v>
      </c>
      <c r="B461" s="39">
        <v>86.0</v>
      </c>
      <c r="C461" s="39" t="s">
        <v>354</v>
      </c>
      <c r="D461" s="39" t="s">
        <v>252</v>
      </c>
      <c r="E461" s="40" t="s">
        <v>334</v>
      </c>
      <c r="F461" s="39">
        <v>460.0</v>
      </c>
      <c r="G461" s="39">
        <f t="array" ref="G461">XLOOKUP(USO_ZONA!$A461,MACROZONAS!B:B,MACROZONAS!A:A)</f>
        <v>2</v>
      </c>
      <c r="H461" s="39">
        <f t="array" ref="H461">XLOOKUP(USO_ZONA!$C461,USOS!H:H,USOS!G:G)</f>
        <v>86</v>
      </c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</row>
    <row r="462" ht="27.75" hidden="1" customHeight="1">
      <c r="A462" s="37" t="s">
        <v>42</v>
      </c>
      <c r="B462" s="37">
        <v>86.0</v>
      </c>
      <c r="C462" s="37" t="s">
        <v>354</v>
      </c>
      <c r="D462" s="37" t="s">
        <v>252</v>
      </c>
      <c r="E462" s="38" t="s">
        <v>334</v>
      </c>
      <c r="F462" s="37">
        <v>461.0</v>
      </c>
      <c r="G462" s="37">
        <f t="array" ref="G462">XLOOKUP(USO_ZONA!$A462,MACROZONAS!B:B,MACROZONAS!A:A)</f>
        <v>3</v>
      </c>
      <c r="H462" s="37">
        <f t="array" ref="H462">XLOOKUP(USO_ZONA!$C462,USOS!H:H,USOS!G:G)</f>
        <v>86</v>
      </c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</row>
    <row r="463" ht="27.75" hidden="1" customHeight="1">
      <c r="A463" s="39" t="s">
        <v>18</v>
      </c>
      <c r="B463" s="39">
        <v>86.0</v>
      </c>
      <c r="C463" s="39" t="s">
        <v>354</v>
      </c>
      <c r="D463" s="39" t="s">
        <v>252</v>
      </c>
      <c r="E463" s="40" t="s">
        <v>334</v>
      </c>
      <c r="F463" s="39">
        <v>462.0</v>
      </c>
      <c r="G463" s="39">
        <f t="array" ref="G463">XLOOKUP(USO_ZONA!$A463,MACROZONAS!B:B,MACROZONAS!A:A)</f>
        <v>4</v>
      </c>
      <c r="H463" s="39">
        <f t="array" ref="H463">XLOOKUP(USO_ZONA!$C463,USOS!H:H,USOS!G:G)</f>
        <v>86</v>
      </c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</row>
    <row r="464" ht="27.75" hidden="1" customHeight="1">
      <c r="A464" s="37" t="s">
        <v>39</v>
      </c>
      <c r="B464" s="37">
        <v>86.0</v>
      </c>
      <c r="C464" s="37" t="s">
        <v>354</v>
      </c>
      <c r="D464" s="37" t="s">
        <v>251</v>
      </c>
      <c r="E464" s="37"/>
      <c r="F464" s="37">
        <v>463.0</v>
      </c>
      <c r="G464" s="37">
        <f t="array" ref="G464">XLOOKUP(USO_ZONA!$A464,MACROZONAS!B:B,MACROZONAS!A:A)</f>
        <v>5</v>
      </c>
      <c r="H464" s="37">
        <f t="array" ref="H464">XLOOKUP(USO_ZONA!$C464,USOS!H:H,USOS!G:G)</f>
        <v>86</v>
      </c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</row>
    <row r="465" ht="27.75" hidden="1" customHeight="1">
      <c r="A465" s="39" t="s">
        <v>29</v>
      </c>
      <c r="B465" s="39">
        <v>86.0</v>
      </c>
      <c r="C465" s="39" t="s">
        <v>354</v>
      </c>
      <c r="D465" s="39" t="s">
        <v>251</v>
      </c>
      <c r="E465" s="39"/>
      <c r="F465" s="39">
        <v>464.0</v>
      </c>
      <c r="G465" s="39">
        <f t="array" ref="G465">XLOOKUP(USO_ZONA!$A465,MACROZONAS!B:B,MACROZONAS!A:A)</f>
        <v>6</v>
      </c>
      <c r="H465" s="39">
        <f t="array" ref="H465">XLOOKUP(USO_ZONA!$C465,USOS!H:H,USOS!G:G)</f>
        <v>86</v>
      </c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</row>
    <row r="466" ht="27.75" hidden="1" customHeight="1">
      <c r="A466" s="37" t="s">
        <v>33</v>
      </c>
      <c r="B466" s="37">
        <v>87.0</v>
      </c>
      <c r="C466" s="37" t="s">
        <v>355</v>
      </c>
      <c r="D466" s="37" t="s">
        <v>252</v>
      </c>
      <c r="E466" s="38" t="s">
        <v>334</v>
      </c>
      <c r="F466" s="37">
        <v>465.0</v>
      </c>
      <c r="G466" s="37">
        <f t="array" ref="G466">XLOOKUP(USO_ZONA!$A466,MACROZONAS!B:B,MACROZONAS!A:A)</f>
        <v>1</v>
      </c>
      <c r="H466" s="37">
        <f t="array" ref="H466">XLOOKUP(USO_ZONA!$C466,USOS!H:H,USOS!G:G)</f>
        <v>87</v>
      </c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</row>
    <row r="467" ht="27.75" hidden="1" customHeight="1">
      <c r="A467" s="39" t="s">
        <v>28</v>
      </c>
      <c r="B467" s="39">
        <v>87.0</v>
      </c>
      <c r="C467" s="39" t="s">
        <v>355</v>
      </c>
      <c r="D467" s="39" t="s">
        <v>252</v>
      </c>
      <c r="E467" s="40" t="s">
        <v>334</v>
      </c>
      <c r="F467" s="39">
        <v>466.0</v>
      </c>
      <c r="G467" s="39">
        <f t="array" ref="G467">XLOOKUP(USO_ZONA!$A467,MACROZONAS!B:B,MACROZONAS!A:A)</f>
        <v>2</v>
      </c>
      <c r="H467" s="39">
        <f t="array" ref="H467">XLOOKUP(USO_ZONA!$C467,USOS!H:H,USOS!G:G)</f>
        <v>87</v>
      </c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</row>
    <row r="468" ht="27.75" hidden="1" customHeight="1">
      <c r="A468" s="37" t="s">
        <v>42</v>
      </c>
      <c r="B468" s="37">
        <v>87.0</v>
      </c>
      <c r="C468" s="37" t="s">
        <v>355</v>
      </c>
      <c r="D468" s="37" t="s">
        <v>252</v>
      </c>
      <c r="E468" s="38" t="s">
        <v>334</v>
      </c>
      <c r="F468" s="37">
        <v>467.0</v>
      </c>
      <c r="G468" s="37">
        <f t="array" ref="G468">XLOOKUP(USO_ZONA!$A468,MACROZONAS!B:B,MACROZONAS!A:A)</f>
        <v>3</v>
      </c>
      <c r="H468" s="37">
        <f t="array" ref="H468">XLOOKUP(USO_ZONA!$C468,USOS!H:H,USOS!G:G)</f>
        <v>87</v>
      </c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</row>
    <row r="469" ht="27.75" hidden="1" customHeight="1">
      <c r="A469" s="39" t="s">
        <v>18</v>
      </c>
      <c r="B469" s="39">
        <v>87.0</v>
      </c>
      <c r="C469" s="39" t="s">
        <v>355</v>
      </c>
      <c r="D469" s="39" t="s">
        <v>252</v>
      </c>
      <c r="E469" s="40" t="s">
        <v>334</v>
      </c>
      <c r="F469" s="39">
        <v>468.0</v>
      </c>
      <c r="G469" s="39">
        <f t="array" ref="G469">XLOOKUP(USO_ZONA!$A469,MACROZONAS!B:B,MACROZONAS!A:A)</f>
        <v>4</v>
      </c>
      <c r="H469" s="39">
        <f t="array" ref="H469">XLOOKUP(USO_ZONA!$C469,USOS!H:H,USOS!G:G)</f>
        <v>87</v>
      </c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</row>
    <row r="470" ht="27.75" hidden="1" customHeight="1">
      <c r="A470" s="37" t="s">
        <v>39</v>
      </c>
      <c r="B470" s="37">
        <v>87.0</v>
      </c>
      <c r="C470" s="37" t="s">
        <v>355</v>
      </c>
      <c r="D470" s="37" t="s">
        <v>251</v>
      </c>
      <c r="E470" s="37"/>
      <c r="F470" s="37">
        <v>469.0</v>
      </c>
      <c r="G470" s="37">
        <f t="array" ref="G470">XLOOKUP(USO_ZONA!$A470,MACROZONAS!B:B,MACROZONAS!A:A)</f>
        <v>5</v>
      </c>
      <c r="H470" s="37">
        <f t="array" ref="H470">XLOOKUP(USO_ZONA!$C470,USOS!H:H,USOS!G:G)</f>
        <v>87</v>
      </c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</row>
    <row r="471" ht="27.75" hidden="1" customHeight="1">
      <c r="A471" s="39" t="s">
        <v>29</v>
      </c>
      <c r="B471" s="39">
        <v>87.0</v>
      </c>
      <c r="C471" s="39" t="s">
        <v>355</v>
      </c>
      <c r="D471" s="39" t="s">
        <v>251</v>
      </c>
      <c r="E471" s="39"/>
      <c r="F471" s="39">
        <v>470.0</v>
      </c>
      <c r="G471" s="39">
        <f t="array" ref="G471">XLOOKUP(USO_ZONA!$A471,MACROZONAS!B:B,MACROZONAS!A:A)</f>
        <v>6</v>
      </c>
      <c r="H471" s="39">
        <f t="array" ref="H471">XLOOKUP(USO_ZONA!$C471,USOS!H:H,USOS!G:G)</f>
        <v>87</v>
      </c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</row>
    <row r="472" ht="27.75" hidden="1" customHeight="1">
      <c r="A472" s="37" t="s">
        <v>33</v>
      </c>
      <c r="B472" s="37">
        <v>88.0</v>
      </c>
      <c r="C472" s="37" t="s">
        <v>356</v>
      </c>
      <c r="D472" s="37" t="s">
        <v>252</v>
      </c>
      <c r="E472" s="38" t="s">
        <v>334</v>
      </c>
      <c r="F472" s="37">
        <v>471.0</v>
      </c>
      <c r="G472" s="37">
        <f t="array" ref="G472">XLOOKUP(USO_ZONA!$A472,MACROZONAS!B:B,MACROZONAS!A:A)</f>
        <v>1</v>
      </c>
      <c r="H472" s="37">
        <f t="array" ref="H472">XLOOKUP(USO_ZONA!$C472,USOS!H:H,USOS!G:G)</f>
        <v>88</v>
      </c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</row>
    <row r="473" ht="27.75" hidden="1" customHeight="1">
      <c r="A473" s="39" t="s">
        <v>28</v>
      </c>
      <c r="B473" s="39">
        <v>88.0</v>
      </c>
      <c r="C473" s="39" t="s">
        <v>356</v>
      </c>
      <c r="D473" s="39" t="s">
        <v>252</v>
      </c>
      <c r="E473" s="40" t="s">
        <v>334</v>
      </c>
      <c r="F473" s="39">
        <v>472.0</v>
      </c>
      <c r="G473" s="39">
        <f t="array" ref="G473">XLOOKUP(USO_ZONA!$A473,MACROZONAS!B:B,MACROZONAS!A:A)</f>
        <v>2</v>
      </c>
      <c r="H473" s="39">
        <f t="array" ref="H473">XLOOKUP(USO_ZONA!$C473,USOS!H:H,USOS!G:G)</f>
        <v>88</v>
      </c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</row>
    <row r="474" ht="27.75" hidden="1" customHeight="1">
      <c r="A474" s="37" t="s">
        <v>42</v>
      </c>
      <c r="B474" s="37">
        <v>88.0</v>
      </c>
      <c r="C474" s="37" t="s">
        <v>356</v>
      </c>
      <c r="D474" s="37" t="s">
        <v>252</v>
      </c>
      <c r="E474" s="38" t="s">
        <v>334</v>
      </c>
      <c r="F474" s="37">
        <v>473.0</v>
      </c>
      <c r="G474" s="37">
        <f t="array" ref="G474">XLOOKUP(USO_ZONA!$A474,MACROZONAS!B:B,MACROZONAS!A:A)</f>
        <v>3</v>
      </c>
      <c r="H474" s="37">
        <f t="array" ref="H474">XLOOKUP(USO_ZONA!$C474,USOS!H:H,USOS!G:G)</f>
        <v>88</v>
      </c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</row>
    <row r="475" ht="27.75" hidden="1" customHeight="1">
      <c r="A475" s="39" t="s">
        <v>18</v>
      </c>
      <c r="B475" s="39">
        <v>88.0</v>
      </c>
      <c r="C475" s="39" t="s">
        <v>356</v>
      </c>
      <c r="D475" s="39" t="s">
        <v>252</v>
      </c>
      <c r="E475" s="40" t="s">
        <v>334</v>
      </c>
      <c r="F475" s="39">
        <v>474.0</v>
      </c>
      <c r="G475" s="39">
        <f t="array" ref="G475">XLOOKUP(USO_ZONA!$A475,MACROZONAS!B:B,MACROZONAS!A:A)</f>
        <v>4</v>
      </c>
      <c r="H475" s="39">
        <f t="array" ref="H475">XLOOKUP(USO_ZONA!$C475,USOS!H:H,USOS!G:G)</f>
        <v>88</v>
      </c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</row>
    <row r="476" ht="27.75" hidden="1" customHeight="1">
      <c r="A476" s="37" t="s">
        <v>39</v>
      </c>
      <c r="B476" s="37">
        <v>88.0</v>
      </c>
      <c r="C476" s="37" t="s">
        <v>356</v>
      </c>
      <c r="D476" s="37" t="s">
        <v>251</v>
      </c>
      <c r="E476" s="37"/>
      <c r="F476" s="37">
        <v>475.0</v>
      </c>
      <c r="G476" s="37">
        <f t="array" ref="G476">XLOOKUP(USO_ZONA!$A476,MACROZONAS!B:B,MACROZONAS!A:A)</f>
        <v>5</v>
      </c>
      <c r="H476" s="37">
        <f t="array" ref="H476">XLOOKUP(USO_ZONA!$C476,USOS!H:H,USOS!G:G)</f>
        <v>88</v>
      </c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</row>
    <row r="477" ht="27.75" hidden="1" customHeight="1">
      <c r="A477" s="39" t="s">
        <v>29</v>
      </c>
      <c r="B477" s="39">
        <v>88.0</v>
      </c>
      <c r="C477" s="39" t="s">
        <v>356</v>
      </c>
      <c r="D477" s="39" t="s">
        <v>251</v>
      </c>
      <c r="E477" s="39"/>
      <c r="F477" s="39">
        <v>476.0</v>
      </c>
      <c r="G477" s="39">
        <f t="array" ref="G477">XLOOKUP(USO_ZONA!$A477,MACROZONAS!B:B,MACROZONAS!A:A)</f>
        <v>6</v>
      </c>
      <c r="H477" s="39">
        <f t="array" ref="H477">XLOOKUP(USO_ZONA!$C477,USOS!H:H,USOS!G:G)</f>
        <v>88</v>
      </c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</row>
    <row r="478" ht="27.75" hidden="1" customHeight="1">
      <c r="A478" s="37" t="s">
        <v>33</v>
      </c>
      <c r="B478" s="37">
        <v>89.0</v>
      </c>
      <c r="C478" s="37" t="s">
        <v>357</v>
      </c>
      <c r="D478" s="37" t="s">
        <v>252</v>
      </c>
      <c r="E478" s="38" t="s">
        <v>334</v>
      </c>
      <c r="F478" s="37">
        <v>477.0</v>
      </c>
      <c r="G478" s="37">
        <f t="array" ref="G478">XLOOKUP(USO_ZONA!$A478,MACROZONAS!B:B,MACROZONAS!A:A)</f>
        <v>1</v>
      </c>
      <c r="H478" s="37">
        <f t="array" ref="H478">XLOOKUP(USO_ZONA!$C478,USOS!H:H,USOS!G:G)</f>
        <v>89</v>
      </c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</row>
    <row r="479" ht="27.75" hidden="1" customHeight="1">
      <c r="A479" s="39" t="s">
        <v>28</v>
      </c>
      <c r="B479" s="39">
        <v>89.0</v>
      </c>
      <c r="C479" s="39" t="s">
        <v>357</v>
      </c>
      <c r="D479" s="39" t="s">
        <v>252</v>
      </c>
      <c r="E479" s="40" t="s">
        <v>334</v>
      </c>
      <c r="F479" s="39">
        <v>478.0</v>
      </c>
      <c r="G479" s="39">
        <f t="array" ref="G479">XLOOKUP(USO_ZONA!$A479,MACROZONAS!B:B,MACROZONAS!A:A)</f>
        <v>2</v>
      </c>
      <c r="H479" s="39">
        <f t="array" ref="H479">XLOOKUP(USO_ZONA!$C479,USOS!H:H,USOS!G:G)</f>
        <v>89</v>
      </c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</row>
    <row r="480" ht="27.75" hidden="1" customHeight="1">
      <c r="A480" s="37" t="s">
        <v>42</v>
      </c>
      <c r="B480" s="37">
        <v>89.0</v>
      </c>
      <c r="C480" s="37" t="s">
        <v>357</v>
      </c>
      <c r="D480" s="37" t="s">
        <v>252</v>
      </c>
      <c r="E480" s="38" t="s">
        <v>334</v>
      </c>
      <c r="F480" s="37">
        <v>479.0</v>
      </c>
      <c r="G480" s="37">
        <f t="array" ref="G480">XLOOKUP(USO_ZONA!$A480,MACROZONAS!B:B,MACROZONAS!A:A)</f>
        <v>3</v>
      </c>
      <c r="H480" s="37">
        <f t="array" ref="H480">XLOOKUP(USO_ZONA!$C480,USOS!H:H,USOS!G:G)</f>
        <v>89</v>
      </c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</row>
    <row r="481" ht="27.75" hidden="1" customHeight="1">
      <c r="A481" s="39" t="s">
        <v>18</v>
      </c>
      <c r="B481" s="39">
        <v>89.0</v>
      </c>
      <c r="C481" s="39" t="s">
        <v>357</v>
      </c>
      <c r="D481" s="39" t="s">
        <v>252</v>
      </c>
      <c r="E481" s="40" t="s">
        <v>334</v>
      </c>
      <c r="F481" s="39">
        <v>480.0</v>
      </c>
      <c r="G481" s="39">
        <f t="array" ref="G481">XLOOKUP(USO_ZONA!$A481,MACROZONAS!B:B,MACROZONAS!A:A)</f>
        <v>4</v>
      </c>
      <c r="H481" s="39">
        <f t="array" ref="H481">XLOOKUP(USO_ZONA!$C481,USOS!H:H,USOS!G:G)</f>
        <v>89</v>
      </c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</row>
    <row r="482" ht="27.75" hidden="1" customHeight="1">
      <c r="A482" s="37" t="s">
        <v>39</v>
      </c>
      <c r="B482" s="37">
        <v>89.0</v>
      </c>
      <c r="C482" s="37" t="s">
        <v>357</v>
      </c>
      <c r="D482" s="37" t="s">
        <v>251</v>
      </c>
      <c r="E482" s="37"/>
      <c r="F482" s="37">
        <v>481.0</v>
      </c>
      <c r="G482" s="37">
        <f t="array" ref="G482">XLOOKUP(USO_ZONA!$A482,MACROZONAS!B:B,MACROZONAS!A:A)</f>
        <v>5</v>
      </c>
      <c r="H482" s="37">
        <f t="array" ref="H482">XLOOKUP(USO_ZONA!$C482,USOS!H:H,USOS!G:G)</f>
        <v>89</v>
      </c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</row>
    <row r="483" ht="27.75" hidden="1" customHeight="1">
      <c r="A483" s="39" t="s">
        <v>29</v>
      </c>
      <c r="B483" s="39">
        <v>89.0</v>
      </c>
      <c r="C483" s="39" t="s">
        <v>357</v>
      </c>
      <c r="D483" s="39" t="s">
        <v>251</v>
      </c>
      <c r="E483" s="39"/>
      <c r="F483" s="39">
        <v>482.0</v>
      </c>
      <c r="G483" s="39">
        <f t="array" ref="G483">XLOOKUP(USO_ZONA!$A483,MACROZONAS!B:B,MACROZONAS!A:A)</f>
        <v>6</v>
      </c>
      <c r="H483" s="39">
        <f t="array" ref="H483">XLOOKUP(USO_ZONA!$C483,USOS!H:H,USOS!G:G)</f>
        <v>89</v>
      </c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</row>
    <row r="484" ht="27.75" hidden="1" customHeight="1">
      <c r="A484" s="37" t="s">
        <v>43</v>
      </c>
      <c r="B484" s="37">
        <v>67.0</v>
      </c>
      <c r="C484" s="37" t="s">
        <v>336</v>
      </c>
      <c r="D484" s="37" t="s">
        <v>248</v>
      </c>
      <c r="E484" s="38" t="s">
        <v>335</v>
      </c>
      <c r="F484" s="37">
        <v>483.0</v>
      </c>
      <c r="G484" s="37">
        <f t="array" ref="G484">XLOOKUP(USO_ZONA!$A484,MACROZONAS!B:B,MACROZONAS!A:A)</f>
        <v>7</v>
      </c>
      <c r="H484" s="37">
        <f t="array" ref="H484">XLOOKUP(USO_ZONA!$C484,USOS!H:H,USOS!G:G)</f>
        <v>67</v>
      </c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</row>
    <row r="485" ht="27.75" hidden="1" customHeight="1">
      <c r="A485" s="39" t="s">
        <v>43</v>
      </c>
      <c r="B485" s="39">
        <v>68.0</v>
      </c>
      <c r="C485" s="39" t="s">
        <v>337</v>
      </c>
      <c r="D485" s="39" t="s">
        <v>248</v>
      </c>
      <c r="E485" s="40" t="s">
        <v>335</v>
      </c>
      <c r="F485" s="39">
        <v>484.0</v>
      </c>
      <c r="G485" s="39">
        <f t="array" ref="G485">XLOOKUP(USO_ZONA!$A485,MACROZONAS!B:B,MACROZONAS!A:A)</f>
        <v>7</v>
      </c>
      <c r="H485" s="39">
        <f t="array" ref="H485">XLOOKUP(USO_ZONA!$C485,USOS!H:H,USOS!G:G)</f>
        <v>68</v>
      </c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</row>
    <row r="486" ht="27.75" hidden="1" customHeight="1">
      <c r="A486" s="37" t="s">
        <v>43</v>
      </c>
      <c r="B486" s="37">
        <v>69.0</v>
      </c>
      <c r="C486" s="37" t="s">
        <v>338</v>
      </c>
      <c r="D486" s="37" t="s">
        <v>248</v>
      </c>
      <c r="E486" s="38" t="s">
        <v>335</v>
      </c>
      <c r="F486" s="37">
        <v>485.0</v>
      </c>
      <c r="G486" s="37">
        <f t="array" ref="G486">XLOOKUP(USO_ZONA!$A486,MACROZONAS!B:B,MACROZONAS!A:A)</f>
        <v>7</v>
      </c>
      <c r="H486" s="37">
        <f t="array" ref="H486">XLOOKUP(USO_ZONA!$C486,USOS!H:H,USOS!G:G)</f>
        <v>69</v>
      </c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</row>
    <row r="487" ht="27.75" hidden="1" customHeight="1">
      <c r="A487" s="39" t="s">
        <v>43</v>
      </c>
      <c r="B487" s="39">
        <v>70.0</v>
      </c>
      <c r="C487" s="39" t="s">
        <v>339</v>
      </c>
      <c r="D487" s="39" t="s">
        <v>248</v>
      </c>
      <c r="E487" s="40" t="s">
        <v>335</v>
      </c>
      <c r="F487" s="39">
        <v>486.0</v>
      </c>
      <c r="G487" s="39">
        <f t="array" ref="G487">XLOOKUP(USO_ZONA!$A487,MACROZONAS!B:B,MACROZONAS!A:A)</f>
        <v>7</v>
      </c>
      <c r="H487" s="39">
        <f t="array" ref="H487">XLOOKUP(USO_ZONA!$C487,USOS!H:H,USOS!G:G)</f>
        <v>70</v>
      </c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</row>
    <row r="488" ht="27.75" hidden="1" customHeight="1">
      <c r="A488" s="37" t="s">
        <v>43</v>
      </c>
      <c r="B488" s="37">
        <v>71.0</v>
      </c>
      <c r="C488" s="37" t="s">
        <v>340</v>
      </c>
      <c r="D488" s="37" t="s">
        <v>248</v>
      </c>
      <c r="E488" s="38" t="s">
        <v>335</v>
      </c>
      <c r="F488" s="37">
        <v>487.0</v>
      </c>
      <c r="G488" s="37">
        <f t="array" ref="G488">XLOOKUP(USO_ZONA!$A488,MACROZONAS!B:B,MACROZONAS!A:A)</f>
        <v>7</v>
      </c>
      <c r="H488" s="37">
        <f t="array" ref="H488">XLOOKUP(USO_ZONA!$C488,USOS!H:H,USOS!G:G)</f>
        <v>71</v>
      </c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</row>
    <row r="489" ht="27.75" hidden="1" customHeight="1">
      <c r="A489" s="39" t="s">
        <v>43</v>
      </c>
      <c r="B489" s="39">
        <v>72.0</v>
      </c>
      <c r="C489" s="39" t="s">
        <v>341</v>
      </c>
      <c r="D489" s="39" t="s">
        <v>248</v>
      </c>
      <c r="E489" s="40" t="s">
        <v>335</v>
      </c>
      <c r="F489" s="39">
        <v>488.0</v>
      </c>
      <c r="G489" s="39">
        <f t="array" ref="G489">XLOOKUP(USO_ZONA!$A489,MACROZONAS!B:B,MACROZONAS!A:A)</f>
        <v>7</v>
      </c>
      <c r="H489" s="39">
        <f t="array" ref="H489">XLOOKUP(USO_ZONA!$C489,USOS!H:H,USOS!G:G)</f>
        <v>72</v>
      </c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</row>
    <row r="490" ht="27.75" hidden="1" customHeight="1">
      <c r="A490" s="37" t="s">
        <v>43</v>
      </c>
      <c r="B490" s="37">
        <v>73.0</v>
      </c>
      <c r="C490" s="37" t="s">
        <v>342</v>
      </c>
      <c r="D490" s="37" t="s">
        <v>248</v>
      </c>
      <c r="E490" s="38" t="s">
        <v>335</v>
      </c>
      <c r="F490" s="37">
        <v>489.0</v>
      </c>
      <c r="G490" s="37">
        <f t="array" ref="G490">XLOOKUP(USO_ZONA!$A490,MACROZONAS!B:B,MACROZONAS!A:A)</f>
        <v>7</v>
      </c>
      <c r="H490" s="37">
        <f t="array" ref="H490">XLOOKUP(USO_ZONA!$C490,USOS!H:H,USOS!G:G)</f>
        <v>73</v>
      </c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</row>
    <row r="491" ht="27.75" hidden="1" customHeight="1">
      <c r="A491" s="39" t="s">
        <v>43</v>
      </c>
      <c r="B491" s="39">
        <v>74.0</v>
      </c>
      <c r="C491" s="39" t="s">
        <v>343</v>
      </c>
      <c r="D491" s="39" t="s">
        <v>251</v>
      </c>
      <c r="E491" s="39"/>
      <c r="F491" s="39">
        <v>490.0</v>
      </c>
      <c r="G491" s="39">
        <f t="array" ref="G491">XLOOKUP(USO_ZONA!$A491,MACROZONAS!B:B,MACROZONAS!A:A)</f>
        <v>7</v>
      </c>
      <c r="H491" s="39">
        <f t="array" ref="H491">XLOOKUP(USO_ZONA!$C491,USOS!H:H,USOS!G:G)</f>
        <v>74</v>
      </c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</row>
    <row r="492" ht="27.75" hidden="1" customHeight="1">
      <c r="A492" s="37" t="s">
        <v>43</v>
      </c>
      <c r="B492" s="37">
        <v>75.0</v>
      </c>
      <c r="C492" s="37" t="s">
        <v>344</v>
      </c>
      <c r="D492" s="37" t="s">
        <v>251</v>
      </c>
      <c r="E492" s="37"/>
      <c r="F492" s="37">
        <v>491.0</v>
      </c>
      <c r="G492" s="37">
        <f t="array" ref="G492">XLOOKUP(USO_ZONA!$A492,MACROZONAS!B:B,MACROZONAS!A:A)</f>
        <v>7</v>
      </c>
      <c r="H492" s="37">
        <f t="array" ref="H492">XLOOKUP(USO_ZONA!$C492,USOS!H:H,USOS!G:G)</f>
        <v>75</v>
      </c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</row>
    <row r="493" ht="27.75" hidden="1" customHeight="1">
      <c r="A493" s="39" t="s">
        <v>43</v>
      </c>
      <c r="B493" s="39">
        <v>76.0</v>
      </c>
      <c r="C493" s="39" t="s">
        <v>345</v>
      </c>
      <c r="D493" s="39" t="s">
        <v>251</v>
      </c>
      <c r="E493" s="39"/>
      <c r="F493" s="39">
        <v>492.0</v>
      </c>
      <c r="G493" s="39">
        <f t="array" ref="G493">XLOOKUP(USO_ZONA!$A493,MACROZONAS!B:B,MACROZONAS!A:A)</f>
        <v>7</v>
      </c>
      <c r="H493" s="39">
        <f t="array" ref="H493">XLOOKUP(USO_ZONA!$C493,USOS!H:H,USOS!G:G)</f>
        <v>76</v>
      </c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</row>
    <row r="494" ht="27.75" hidden="1" customHeight="1">
      <c r="A494" s="37" t="s">
        <v>43</v>
      </c>
      <c r="B494" s="37">
        <v>77.0</v>
      </c>
      <c r="C494" s="37" t="s">
        <v>346</v>
      </c>
      <c r="D494" s="37" t="s">
        <v>251</v>
      </c>
      <c r="E494" s="37"/>
      <c r="F494" s="37">
        <v>493.0</v>
      </c>
      <c r="G494" s="37">
        <f t="array" ref="G494">XLOOKUP(USO_ZONA!$A494,MACROZONAS!B:B,MACROZONAS!A:A)</f>
        <v>7</v>
      </c>
      <c r="H494" s="37">
        <f t="array" ref="H494">XLOOKUP(USO_ZONA!$C494,USOS!H:H,USOS!G:G)</f>
        <v>77</v>
      </c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</row>
    <row r="495" ht="27.75" hidden="1" customHeight="1">
      <c r="A495" s="39" t="s">
        <v>43</v>
      </c>
      <c r="B495" s="39">
        <v>78.0</v>
      </c>
      <c r="C495" s="39" t="s">
        <v>347</v>
      </c>
      <c r="D495" s="39" t="s">
        <v>251</v>
      </c>
      <c r="E495" s="39"/>
      <c r="F495" s="39">
        <v>494.0</v>
      </c>
      <c r="G495" s="39">
        <f t="array" ref="G495">XLOOKUP(USO_ZONA!$A495,MACROZONAS!B:B,MACROZONAS!A:A)</f>
        <v>7</v>
      </c>
      <c r="H495" s="39">
        <f t="array" ref="H495">XLOOKUP(USO_ZONA!$C495,USOS!H:H,USOS!G:G)</f>
        <v>78</v>
      </c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</row>
    <row r="496" ht="27.75" hidden="1" customHeight="1">
      <c r="A496" s="37" t="s">
        <v>43</v>
      </c>
      <c r="B496" s="37">
        <v>79.0</v>
      </c>
      <c r="C496" s="37" t="s">
        <v>348</v>
      </c>
      <c r="D496" s="37" t="s">
        <v>251</v>
      </c>
      <c r="E496" s="37"/>
      <c r="F496" s="37">
        <v>495.0</v>
      </c>
      <c r="G496" s="37">
        <f t="array" ref="G496">XLOOKUP(USO_ZONA!$A496,MACROZONAS!B:B,MACROZONAS!A:A)</f>
        <v>7</v>
      </c>
      <c r="H496" s="37">
        <f t="array" ref="H496">XLOOKUP(USO_ZONA!$C496,USOS!H:H,USOS!G:G)</f>
        <v>79</v>
      </c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</row>
    <row r="497" ht="27.75" hidden="1" customHeight="1">
      <c r="A497" s="39" t="s">
        <v>43</v>
      </c>
      <c r="B497" s="39">
        <v>80.0</v>
      </c>
      <c r="C497" s="39" t="s">
        <v>349</v>
      </c>
      <c r="D497" s="39" t="s">
        <v>251</v>
      </c>
      <c r="E497" s="39"/>
      <c r="F497" s="39">
        <v>496.0</v>
      </c>
      <c r="G497" s="39">
        <f t="array" ref="G497">XLOOKUP(USO_ZONA!$A497,MACROZONAS!B:B,MACROZONAS!A:A)</f>
        <v>7</v>
      </c>
      <c r="H497" s="39">
        <f t="array" ref="H497">XLOOKUP(USO_ZONA!$C497,USOS!H:H,USOS!G:G)</f>
        <v>80</v>
      </c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</row>
    <row r="498" ht="27.75" hidden="1" customHeight="1">
      <c r="A498" s="37" t="s">
        <v>43</v>
      </c>
      <c r="B498" s="37">
        <v>81.0</v>
      </c>
      <c r="C498" s="37" t="s">
        <v>350</v>
      </c>
      <c r="D498" s="37" t="s">
        <v>251</v>
      </c>
      <c r="E498" s="37"/>
      <c r="F498" s="37">
        <v>497.0</v>
      </c>
      <c r="G498" s="37">
        <f t="array" ref="G498">XLOOKUP(USO_ZONA!$A498,MACROZONAS!B:B,MACROZONAS!A:A)</f>
        <v>7</v>
      </c>
      <c r="H498" s="37">
        <f t="array" ref="H498">XLOOKUP(USO_ZONA!$C498,USOS!H:H,USOS!G:G)</f>
        <v>81</v>
      </c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</row>
    <row r="499" ht="27.75" hidden="1" customHeight="1">
      <c r="A499" s="39" t="s">
        <v>43</v>
      </c>
      <c r="B499" s="39">
        <v>82.0</v>
      </c>
      <c r="C499" s="39" t="s">
        <v>351</v>
      </c>
      <c r="D499" s="39" t="s">
        <v>251</v>
      </c>
      <c r="E499" s="39"/>
      <c r="F499" s="39">
        <v>498.0</v>
      </c>
      <c r="G499" s="39">
        <f t="array" ref="G499">XLOOKUP(USO_ZONA!$A499,MACROZONAS!B:B,MACROZONAS!A:A)</f>
        <v>7</v>
      </c>
      <c r="H499" s="39">
        <f t="array" ref="H499">XLOOKUP(USO_ZONA!$C499,USOS!H:H,USOS!G:G)</f>
        <v>82</v>
      </c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</row>
    <row r="500" ht="27.75" hidden="1" customHeight="1">
      <c r="A500" s="37" t="s">
        <v>43</v>
      </c>
      <c r="B500" s="37">
        <v>83.0</v>
      </c>
      <c r="C500" s="37" t="s">
        <v>352</v>
      </c>
      <c r="D500" s="37" t="s">
        <v>251</v>
      </c>
      <c r="E500" s="37"/>
      <c r="F500" s="37">
        <v>499.0</v>
      </c>
      <c r="G500" s="37">
        <f t="array" ref="G500">XLOOKUP(USO_ZONA!$A500,MACROZONAS!B:B,MACROZONAS!A:A)</f>
        <v>7</v>
      </c>
      <c r="H500" s="37">
        <f t="array" ref="H500">XLOOKUP(USO_ZONA!$C500,USOS!H:H,USOS!G:G)</f>
        <v>83</v>
      </c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</row>
    <row r="501" ht="27.75" hidden="1" customHeight="1">
      <c r="A501" s="39" t="s">
        <v>43</v>
      </c>
      <c r="B501" s="39">
        <v>85.0</v>
      </c>
      <c r="C501" s="39" t="s">
        <v>353</v>
      </c>
      <c r="D501" s="39" t="s">
        <v>251</v>
      </c>
      <c r="E501" s="39"/>
      <c r="F501" s="39">
        <v>500.0</v>
      </c>
      <c r="G501" s="39">
        <f t="array" ref="G501">XLOOKUP(USO_ZONA!$A501,MACROZONAS!B:B,MACROZONAS!A:A)</f>
        <v>7</v>
      </c>
      <c r="H501" s="39">
        <f t="array" ref="H501">XLOOKUP(USO_ZONA!$C501,USOS!H:H,USOS!G:G)</f>
        <v>85</v>
      </c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</row>
    <row r="502" ht="27.75" hidden="1" customHeight="1">
      <c r="A502" s="37" t="s">
        <v>43</v>
      </c>
      <c r="B502" s="37">
        <v>86.0</v>
      </c>
      <c r="C502" s="37" t="s">
        <v>354</v>
      </c>
      <c r="D502" s="37" t="s">
        <v>251</v>
      </c>
      <c r="E502" s="37"/>
      <c r="F502" s="37">
        <v>501.0</v>
      </c>
      <c r="G502" s="37">
        <f t="array" ref="G502">XLOOKUP(USO_ZONA!$A502,MACROZONAS!B:B,MACROZONAS!A:A)</f>
        <v>7</v>
      </c>
      <c r="H502" s="37">
        <f t="array" ref="H502">XLOOKUP(USO_ZONA!$C502,USOS!H:H,USOS!G:G)</f>
        <v>86</v>
      </c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</row>
    <row r="503" ht="27.75" hidden="1" customHeight="1">
      <c r="A503" s="39" t="s">
        <v>43</v>
      </c>
      <c r="B503" s="39">
        <v>87.0</v>
      </c>
      <c r="C503" s="39" t="s">
        <v>355</v>
      </c>
      <c r="D503" s="39" t="s">
        <v>251</v>
      </c>
      <c r="E503" s="39"/>
      <c r="F503" s="39">
        <v>502.0</v>
      </c>
      <c r="G503" s="39">
        <f t="array" ref="G503">XLOOKUP(USO_ZONA!$A503,MACROZONAS!B:B,MACROZONAS!A:A)</f>
        <v>7</v>
      </c>
      <c r="H503" s="39">
        <f t="array" ref="H503">XLOOKUP(USO_ZONA!$C503,USOS!H:H,USOS!G:G)</f>
        <v>87</v>
      </c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</row>
    <row r="504" ht="27.75" hidden="1" customHeight="1">
      <c r="A504" s="37" t="s">
        <v>43</v>
      </c>
      <c r="B504" s="37">
        <v>88.0</v>
      </c>
      <c r="C504" s="37" t="s">
        <v>356</v>
      </c>
      <c r="D504" s="37" t="s">
        <v>251</v>
      </c>
      <c r="E504" s="37"/>
      <c r="F504" s="37">
        <v>503.0</v>
      </c>
      <c r="G504" s="37">
        <f t="array" ref="G504">XLOOKUP(USO_ZONA!$A504,MACROZONAS!B:B,MACROZONAS!A:A)</f>
        <v>7</v>
      </c>
      <c r="H504" s="37">
        <f t="array" ref="H504">XLOOKUP(USO_ZONA!$C504,USOS!H:H,USOS!G:G)</f>
        <v>88</v>
      </c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</row>
    <row r="505" ht="27.75" hidden="1" customHeight="1">
      <c r="A505" s="39" t="s">
        <v>43</v>
      </c>
      <c r="B505" s="39">
        <v>89.0</v>
      </c>
      <c r="C505" s="39" t="s">
        <v>357</v>
      </c>
      <c r="D505" s="39" t="s">
        <v>251</v>
      </c>
      <c r="E505" s="39"/>
      <c r="F505" s="39">
        <v>504.0</v>
      </c>
      <c r="G505" s="39">
        <f t="array" ref="G505">XLOOKUP(USO_ZONA!$A505,MACROZONAS!B:B,MACROZONAS!A:A)</f>
        <v>7</v>
      </c>
      <c r="H505" s="39">
        <f t="array" ref="H505">XLOOKUP(USO_ZONA!$C505,USOS!H:H,USOS!G:G)</f>
        <v>89</v>
      </c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</row>
    <row r="506" ht="27.75" hidden="1" customHeight="1">
      <c r="A506" s="37" t="s">
        <v>33</v>
      </c>
      <c r="B506" s="37"/>
      <c r="C506" s="42" t="s">
        <v>358</v>
      </c>
      <c r="D506" s="37" t="s">
        <v>252</v>
      </c>
      <c r="E506" s="37" t="s">
        <v>359</v>
      </c>
      <c r="F506" s="37">
        <f t="shared" ref="F506:F540" si="1">F505+1</f>
        <v>505</v>
      </c>
      <c r="G506" s="37">
        <f t="array" ref="G506">XLOOKUP(USO_ZONA!$A506,MACROZONAS!B:B,MACROZONAS!A:A)</f>
        <v>1</v>
      </c>
      <c r="H506" s="37">
        <f t="array" ref="H506">XLOOKUP(USO_ZONA!$C506,USOS!H:H,USOS!G:G)</f>
        <v>90</v>
      </c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</row>
    <row r="507" ht="27.75" hidden="1" customHeight="1">
      <c r="A507" s="39" t="s">
        <v>33</v>
      </c>
      <c r="B507" s="39"/>
      <c r="C507" s="39" t="s">
        <v>360</v>
      </c>
      <c r="D507" s="39" t="s">
        <v>252</v>
      </c>
      <c r="E507" s="39" t="s">
        <v>359</v>
      </c>
      <c r="F507" s="39">
        <f t="shared" si="1"/>
        <v>506</v>
      </c>
      <c r="G507" s="39">
        <f t="array" ref="G507">XLOOKUP(USO_ZONA!$A507,MACROZONAS!B:B,MACROZONAS!A:A)</f>
        <v>1</v>
      </c>
      <c r="H507" s="39">
        <f t="array" ref="H507">XLOOKUP(USO_ZONA!$C507,USOS!H:H,USOS!G:G)</f>
        <v>91</v>
      </c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</row>
    <row r="508" ht="27.75" hidden="1" customHeight="1">
      <c r="A508" s="37" t="s">
        <v>33</v>
      </c>
      <c r="B508" s="37"/>
      <c r="C508" s="37" t="s">
        <v>361</v>
      </c>
      <c r="D508" s="37" t="s">
        <v>252</v>
      </c>
      <c r="E508" s="37" t="s">
        <v>359</v>
      </c>
      <c r="F508" s="37">
        <f t="shared" si="1"/>
        <v>507</v>
      </c>
      <c r="G508" s="37">
        <f t="array" ref="G508">XLOOKUP(USO_ZONA!$A508,MACROZONAS!B:B,MACROZONAS!A:A)</f>
        <v>1</v>
      </c>
      <c r="H508" s="37">
        <f t="array" ref="H508">XLOOKUP(USO_ZONA!$C508,USOS!H:H,USOS!G:G)</f>
        <v>92</v>
      </c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</row>
    <row r="509" ht="27.75" hidden="1" customHeight="1">
      <c r="A509" s="39" t="s">
        <v>33</v>
      </c>
      <c r="B509" s="39"/>
      <c r="C509" s="39" t="s">
        <v>362</v>
      </c>
      <c r="D509" s="39" t="s">
        <v>252</v>
      </c>
      <c r="E509" s="39" t="s">
        <v>359</v>
      </c>
      <c r="F509" s="39">
        <f t="shared" si="1"/>
        <v>508</v>
      </c>
      <c r="G509" s="39">
        <f t="array" ref="G509">XLOOKUP(USO_ZONA!$A509,MACROZONAS!B:B,MACROZONAS!A:A)</f>
        <v>1</v>
      </c>
      <c r="H509" s="39">
        <f t="array" ref="H509">XLOOKUP(USO_ZONA!$C509,USOS!H:H,USOS!G:G)</f>
        <v>93</v>
      </c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</row>
    <row r="510" ht="27.75" hidden="1" customHeight="1">
      <c r="A510" s="37" t="s">
        <v>33</v>
      </c>
      <c r="B510" s="37"/>
      <c r="C510" s="37" t="s">
        <v>363</v>
      </c>
      <c r="D510" s="37" t="s">
        <v>252</v>
      </c>
      <c r="E510" s="37" t="s">
        <v>359</v>
      </c>
      <c r="F510" s="37">
        <f t="shared" si="1"/>
        <v>509</v>
      </c>
      <c r="G510" s="37">
        <f t="array" ref="G510">XLOOKUP(USO_ZONA!$A510,MACROZONAS!B:B,MACROZONAS!A:A)</f>
        <v>1</v>
      </c>
      <c r="H510" s="37">
        <f t="array" ref="H510">XLOOKUP(USO_ZONA!$C510,USOS!H:H,USOS!G:G)</f>
        <v>94</v>
      </c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</row>
    <row r="511" ht="27.75" hidden="1" customHeight="1">
      <c r="A511" s="39" t="s">
        <v>28</v>
      </c>
      <c r="B511" s="39"/>
      <c r="C511" s="43" t="s">
        <v>358</v>
      </c>
      <c r="D511" s="39" t="s">
        <v>252</v>
      </c>
      <c r="E511" s="39" t="s">
        <v>359</v>
      </c>
      <c r="F511" s="39">
        <f t="shared" si="1"/>
        <v>510</v>
      </c>
      <c r="G511" s="39">
        <f t="array" ref="G511">XLOOKUP(USO_ZONA!$A511,MACROZONAS!B:B,MACROZONAS!A:A)</f>
        <v>2</v>
      </c>
      <c r="H511" s="39">
        <f t="array" ref="H511">XLOOKUP(USO_ZONA!$C511,USOS!H:H,USOS!G:G)</f>
        <v>90</v>
      </c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</row>
    <row r="512" ht="27.75" hidden="1" customHeight="1">
      <c r="A512" s="37" t="s">
        <v>28</v>
      </c>
      <c r="B512" s="37"/>
      <c r="C512" s="37" t="s">
        <v>360</v>
      </c>
      <c r="D512" s="37" t="s">
        <v>252</v>
      </c>
      <c r="E512" s="37" t="s">
        <v>359</v>
      </c>
      <c r="F512" s="37">
        <f t="shared" si="1"/>
        <v>511</v>
      </c>
      <c r="G512" s="37">
        <f t="array" ref="G512">XLOOKUP(USO_ZONA!$A512,MACROZONAS!B:B,MACROZONAS!A:A)</f>
        <v>2</v>
      </c>
      <c r="H512" s="37">
        <f t="array" ref="H512">XLOOKUP(USO_ZONA!$C512,USOS!H:H,USOS!G:G)</f>
        <v>91</v>
      </c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</row>
    <row r="513" ht="27.75" hidden="1" customHeight="1">
      <c r="A513" s="39" t="s">
        <v>28</v>
      </c>
      <c r="B513" s="39"/>
      <c r="C513" s="39" t="s">
        <v>361</v>
      </c>
      <c r="D513" s="39" t="s">
        <v>252</v>
      </c>
      <c r="E513" s="39" t="s">
        <v>359</v>
      </c>
      <c r="F513" s="39">
        <f t="shared" si="1"/>
        <v>512</v>
      </c>
      <c r="G513" s="39">
        <f t="array" ref="G513">XLOOKUP(USO_ZONA!$A513,MACROZONAS!B:B,MACROZONAS!A:A)</f>
        <v>2</v>
      </c>
      <c r="H513" s="39">
        <f t="array" ref="H513">XLOOKUP(USO_ZONA!$C513,USOS!H:H,USOS!G:G)</f>
        <v>92</v>
      </c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</row>
    <row r="514" ht="27.75" hidden="1" customHeight="1">
      <c r="A514" s="37" t="s">
        <v>28</v>
      </c>
      <c r="B514" s="37"/>
      <c r="C514" s="37" t="s">
        <v>362</v>
      </c>
      <c r="D514" s="37" t="s">
        <v>252</v>
      </c>
      <c r="E514" s="37" t="s">
        <v>359</v>
      </c>
      <c r="F514" s="37">
        <f t="shared" si="1"/>
        <v>513</v>
      </c>
      <c r="G514" s="37">
        <f t="array" ref="G514">XLOOKUP(USO_ZONA!$A514,MACROZONAS!B:B,MACROZONAS!A:A)</f>
        <v>2</v>
      </c>
      <c r="H514" s="37">
        <f t="array" ref="H514">XLOOKUP(USO_ZONA!$C514,USOS!H:H,USOS!G:G)</f>
        <v>93</v>
      </c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</row>
    <row r="515" ht="27.75" hidden="1" customHeight="1">
      <c r="A515" s="39" t="s">
        <v>28</v>
      </c>
      <c r="B515" s="39"/>
      <c r="C515" s="39" t="s">
        <v>363</v>
      </c>
      <c r="D515" s="39" t="s">
        <v>252</v>
      </c>
      <c r="E515" s="39" t="s">
        <v>359</v>
      </c>
      <c r="F515" s="39">
        <f t="shared" si="1"/>
        <v>514</v>
      </c>
      <c r="G515" s="39">
        <f t="array" ref="G515">XLOOKUP(USO_ZONA!$A515,MACROZONAS!B:B,MACROZONAS!A:A)</f>
        <v>2</v>
      </c>
      <c r="H515" s="39">
        <f t="array" ref="H515">XLOOKUP(USO_ZONA!$C515,USOS!H:H,USOS!G:G)</f>
        <v>94</v>
      </c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</row>
    <row r="516" ht="27.75" hidden="1" customHeight="1">
      <c r="A516" s="37" t="s">
        <v>42</v>
      </c>
      <c r="B516" s="37"/>
      <c r="C516" s="42" t="s">
        <v>358</v>
      </c>
      <c r="D516" s="37" t="s">
        <v>252</v>
      </c>
      <c r="E516" s="37" t="s">
        <v>359</v>
      </c>
      <c r="F516" s="37">
        <f t="shared" si="1"/>
        <v>515</v>
      </c>
      <c r="G516" s="37">
        <f t="array" ref="G516">XLOOKUP(USO_ZONA!$A516,MACROZONAS!B:B,MACROZONAS!A:A)</f>
        <v>3</v>
      </c>
      <c r="H516" s="37">
        <f t="array" ref="H516">XLOOKUP(USO_ZONA!$C516,USOS!H:H,USOS!G:G)</f>
        <v>90</v>
      </c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</row>
    <row r="517" ht="27.75" hidden="1" customHeight="1">
      <c r="A517" s="39" t="s">
        <v>42</v>
      </c>
      <c r="B517" s="39"/>
      <c r="C517" s="39" t="s">
        <v>360</v>
      </c>
      <c r="D517" s="39" t="s">
        <v>252</v>
      </c>
      <c r="E517" s="39" t="s">
        <v>359</v>
      </c>
      <c r="F517" s="39">
        <f t="shared" si="1"/>
        <v>516</v>
      </c>
      <c r="G517" s="39">
        <f t="array" ref="G517">XLOOKUP(USO_ZONA!$A517,MACROZONAS!B:B,MACROZONAS!A:A)</f>
        <v>3</v>
      </c>
      <c r="H517" s="39">
        <f t="array" ref="H517">XLOOKUP(USO_ZONA!$C517,USOS!H:H,USOS!G:G)</f>
        <v>91</v>
      </c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</row>
    <row r="518" ht="27.75" hidden="1" customHeight="1">
      <c r="A518" s="37" t="s">
        <v>42</v>
      </c>
      <c r="B518" s="37"/>
      <c r="C518" s="37" t="s">
        <v>361</v>
      </c>
      <c r="D518" s="37" t="s">
        <v>252</v>
      </c>
      <c r="E518" s="37" t="s">
        <v>359</v>
      </c>
      <c r="F518" s="37">
        <f t="shared" si="1"/>
        <v>517</v>
      </c>
      <c r="G518" s="37">
        <f t="array" ref="G518">XLOOKUP(USO_ZONA!$A518,MACROZONAS!B:B,MACROZONAS!A:A)</f>
        <v>3</v>
      </c>
      <c r="H518" s="37">
        <f t="array" ref="H518">XLOOKUP(USO_ZONA!$C518,USOS!H:H,USOS!G:G)</f>
        <v>92</v>
      </c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</row>
    <row r="519" ht="27.75" hidden="1" customHeight="1">
      <c r="A519" s="39" t="s">
        <v>42</v>
      </c>
      <c r="B519" s="39"/>
      <c r="C519" s="39" t="s">
        <v>362</v>
      </c>
      <c r="D519" s="39" t="s">
        <v>252</v>
      </c>
      <c r="E519" s="39" t="s">
        <v>359</v>
      </c>
      <c r="F519" s="39">
        <f t="shared" si="1"/>
        <v>518</v>
      </c>
      <c r="G519" s="39">
        <f t="array" ref="G519">XLOOKUP(USO_ZONA!$A519,MACROZONAS!B:B,MACROZONAS!A:A)</f>
        <v>3</v>
      </c>
      <c r="H519" s="39">
        <f t="array" ref="H519">XLOOKUP(USO_ZONA!$C519,USOS!H:H,USOS!G:G)</f>
        <v>93</v>
      </c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</row>
    <row r="520" ht="27.75" hidden="1" customHeight="1">
      <c r="A520" s="37" t="s">
        <v>42</v>
      </c>
      <c r="B520" s="37"/>
      <c r="C520" s="37" t="s">
        <v>363</v>
      </c>
      <c r="D520" s="37" t="s">
        <v>252</v>
      </c>
      <c r="E520" s="37" t="s">
        <v>359</v>
      </c>
      <c r="F520" s="37">
        <f t="shared" si="1"/>
        <v>519</v>
      </c>
      <c r="G520" s="37">
        <f t="array" ref="G520">XLOOKUP(USO_ZONA!$A520,MACROZONAS!B:B,MACROZONAS!A:A)</f>
        <v>3</v>
      </c>
      <c r="H520" s="37">
        <f t="array" ref="H520">XLOOKUP(USO_ZONA!$C520,USOS!H:H,USOS!G:G)</f>
        <v>94</v>
      </c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</row>
    <row r="521" ht="27.75" hidden="1" customHeight="1">
      <c r="A521" s="39" t="s">
        <v>18</v>
      </c>
      <c r="B521" s="39"/>
      <c r="C521" s="43" t="s">
        <v>358</v>
      </c>
      <c r="D521" s="39" t="s">
        <v>252</v>
      </c>
      <c r="E521" s="39" t="s">
        <v>359</v>
      </c>
      <c r="F521" s="39">
        <f t="shared" si="1"/>
        <v>520</v>
      </c>
      <c r="G521" s="39">
        <f t="array" ref="G521">XLOOKUP(USO_ZONA!$A521,MACROZONAS!B:B,MACROZONAS!A:A)</f>
        <v>4</v>
      </c>
      <c r="H521" s="39">
        <f t="array" ref="H521">XLOOKUP(USO_ZONA!$C521,USOS!H:H,USOS!G:G)</f>
        <v>90</v>
      </c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</row>
    <row r="522" ht="27.75" hidden="1" customHeight="1">
      <c r="A522" s="37" t="s">
        <v>18</v>
      </c>
      <c r="B522" s="37"/>
      <c r="C522" s="37" t="s">
        <v>360</v>
      </c>
      <c r="D522" s="37" t="s">
        <v>252</v>
      </c>
      <c r="E522" s="37" t="s">
        <v>359</v>
      </c>
      <c r="F522" s="37">
        <f t="shared" si="1"/>
        <v>521</v>
      </c>
      <c r="G522" s="37">
        <f t="array" ref="G522">XLOOKUP(USO_ZONA!$A522,MACROZONAS!B:B,MACROZONAS!A:A)</f>
        <v>4</v>
      </c>
      <c r="H522" s="37">
        <f t="array" ref="H522">XLOOKUP(USO_ZONA!$C522,USOS!H:H,USOS!G:G)</f>
        <v>91</v>
      </c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</row>
    <row r="523" ht="27.75" hidden="1" customHeight="1">
      <c r="A523" s="39" t="s">
        <v>18</v>
      </c>
      <c r="B523" s="39"/>
      <c r="C523" s="39" t="s">
        <v>361</v>
      </c>
      <c r="D523" s="39" t="s">
        <v>252</v>
      </c>
      <c r="E523" s="39" t="s">
        <v>359</v>
      </c>
      <c r="F523" s="39">
        <f t="shared" si="1"/>
        <v>522</v>
      </c>
      <c r="G523" s="39">
        <f t="array" ref="G523">XLOOKUP(USO_ZONA!$A523,MACROZONAS!B:B,MACROZONAS!A:A)</f>
        <v>4</v>
      </c>
      <c r="H523" s="39">
        <f t="array" ref="H523">XLOOKUP(USO_ZONA!$C523,USOS!H:H,USOS!G:G)</f>
        <v>92</v>
      </c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</row>
    <row r="524" ht="27.75" hidden="1" customHeight="1">
      <c r="A524" s="37" t="s">
        <v>18</v>
      </c>
      <c r="B524" s="37"/>
      <c r="C524" s="37" t="s">
        <v>362</v>
      </c>
      <c r="D524" s="37" t="s">
        <v>252</v>
      </c>
      <c r="E524" s="37" t="s">
        <v>359</v>
      </c>
      <c r="F524" s="37">
        <f t="shared" si="1"/>
        <v>523</v>
      </c>
      <c r="G524" s="37">
        <f t="array" ref="G524">XLOOKUP(USO_ZONA!$A524,MACROZONAS!B:B,MACROZONAS!A:A)</f>
        <v>4</v>
      </c>
      <c r="H524" s="37">
        <f t="array" ref="H524">XLOOKUP(USO_ZONA!$C524,USOS!H:H,USOS!G:G)</f>
        <v>93</v>
      </c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</row>
    <row r="525" ht="27.75" hidden="1" customHeight="1">
      <c r="A525" s="39" t="s">
        <v>18</v>
      </c>
      <c r="B525" s="39"/>
      <c r="C525" s="39" t="s">
        <v>363</v>
      </c>
      <c r="D525" s="39" t="s">
        <v>252</v>
      </c>
      <c r="E525" s="39" t="s">
        <v>359</v>
      </c>
      <c r="F525" s="39">
        <f t="shared" si="1"/>
        <v>524</v>
      </c>
      <c r="G525" s="39">
        <f t="array" ref="G525">XLOOKUP(USO_ZONA!$A525,MACROZONAS!B:B,MACROZONAS!A:A)</f>
        <v>4</v>
      </c>
      <c r="H525" s="39">
        <f t="array" ref="H525">XLOOKUP(USO_ZONA!$C525,USOS!H:H,USOS!G:G)</f>
        <v>94</v>
      </c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</row>
    <row r="526" ht="27.75" hidden="1" customHeight="1">
      <c r="A526" s="37" t="s">
        <v>39</v>
      </c>
      <c r="B526" s="37"/>
      <c r="C526" s="42" t="s">
        <v>358</v>
      </c>
      <c r="D526" s="37" t="s">
        <v>252</v>
      </c>
      <c r="E526" s="37" t="s">
        <v>359</v>
      </c>
      <c r="F526" s="37">
        <f t="shared" si="1"/>
        <v>525</v>
      </c>
      <c r="G526" s="37">
        <f t="array" ref="G526">XLOOKUP(USO_ZONA!$A526,MACROZONAS!B:B,MACROZONAS!A:A)</f>
        <v>5</v>
      </c>
      <c r="H526" s="37">
        <f t="array" ref="H526">XLOOKUP(USO_ZONA!$C526,USOS!H:H,USOS!G:G)</f>
        <v>90</v>
      </c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</row>
    <row r="527" ht="27.75" hidden="1" customHeight="1">
      <c r="A527" s="39" t="s">
        <v>39</v>
      </c>
      <c r="B527" s="39"/>
      <c r="C527" s="39" t="s">
        <v>360</v>
      </c>
      <c r="D527" s="39" t="s">
        <v>252</v>
      </c>
      <c r="E527" s="39" t="s">
        <v>359</v>
      </c>
      <c r="F527" s="39">
        <f t="shared" si="1"/>
        <v>526</v>
      </c>
      <c r="G527" s="39">
        <f t="array" ref="G527">XLOOKUP(USO_ZONA!$A527,MACROZONAS!B:B,MACROZONAS!A:A)</f>
        <v>5</v>
      </c>
      <c r="H527" s="39">
        <f t="array" ref="H527">XLOOKUP(USO_ZONA!$C527,USOS!H:H,USOS!G:G)</f>
        <v>91</v>
      </c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</row>
    <row r="528" ht="27.75" hidden="1" customHeight="1">
      <c r="A528" s="37" t="s">
        <v>39</v>
      </c>
      <c r="B528" s="37"/>
      <c r="C528" s="37" t="s">
        <v>361</v>
      </c>
      <c r="D528" s="37" t="s">
        <v>252</v>
      </c>
      <c r="E528" s="37" t="s">
        <v>359</v>
      </c>
      <c r="F528" s="37">
        <f t="shared" si="1"/>
        <v>527</v>
      </c>
      <c r="G528" s="37">
        <f t="array" ref="G528">XLOOKUP(USO_ZONA!$A528,MACROZONAS!B:B,MACROZONAS!A:A)</f>
        <v>5</v>
      </c>
      <c r="H528" s="37">
        <f t="array" ref="H528">XLOOKUP(USO_ZONA!$C528,USOS!H:H,USOS!G:G)</f>
        <v>92</v>
      </c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</row>
    <row r="529" ht="27.75" hidden="1" customHeight="1">
      <c r="A529" s="39" t="s">
        <v>39</v>
      </c>
      <c r="B529" s="39"/>
      <c r="C529" s="39" t="s">
        <v>362</v>
      </c>
      <c r="D529" s="39" t="s">
        <v>252</v>
      </c>
      <c r="E529" s="39" t="s">
        <v>359</v>
      </c>
      <c r="F529" s="39">
        <f t="shared" si="1"/>
        <v>528</v>
      </c>
      <c r="G529" s="39">
        <f t="array" ref="G529">XLOOKUP(USO_ZONA!$A529,MACROZONAS!B:B,MACROZONAS!A:A)</f>
        <v>5</v>
      </c>
      <c r="H529" s="39">
        <f t="array" ref="H529">XLOOKUP(USO_ZONA!$C529,USOS!H:H,USOS!G:G)</f>
        <v>93</v>
      </c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</row>
    <row r="530" ht="27.75" hidden="1" customHeight="1">
      <c r="A530" s="37" t="s">
        <v>39</v>
      </c>
      <c r="B530" s="37"/>
      <c r="C530" s="37" t="s">
        <v>363</v>
      </c>
      <c r="D530" s="37" t="s">
        <v>252</v>
      </c>
      <c r="E530" s="37" t="s">
        <v>359</v>
      </c>
      <c r="F530" s="37">
        <f t="shared" si="1"/>
        <v>529</v>
      </c>
      <c r="G530" s="37">
        <f t="array" ref="G530">XLOOKUP(USO_ZONA!$A530,MACROZONAS!B:B,MACROZONAS!A:A)</f>
        <v>5</v>
      </c>
      <c r="H530" s="37">
        <f t="array" ref="H530">XLOOKUP(USO_ZONA!$C530,USOS!H:H,USOS!G:G)</f>
        <v>94</v>
      </c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</row>
    <row r="531" ht="27.75" hidden="1" customHeight="1">
      <c r="A531" s="39" t="s">
        <v>29</v>
      </c>
      <c r="B531" s="39"/>
      <c r="C531" s="43" t="s">
        <v>358</v>
      </c>
      <c r="D531" s="39" t="s">
        <v>252</v>
      </c>
      <c r="E531" s="39" t="s">
        <v>359</v>
      </c>
      <c r="F531" s="39">
        <f t="shared" si="1"/>
        <v>530</v>
      </c>
      <c r="G531" s="39">
        <f t="array" ref="G531">XLOOKUP(USO_ZONA!$A531,MACROZONAS!B:B,MACROZONAS!A:A)</f>
        <v>6</v>
      </c>
      <c r="H531" s="39">
        <f t="array" ref="H531">XLOOKUP(USO_ZONA!$C531,USOS!H:H,USOS!G:G)</f>
        <v>90</v>
      </c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</row>
    <row r="532" ht="27.75" hidden="1" customHeight="1">
      <c r="A532" s="37" t="s">
        <v>29</v>
      </c>
      <c r="B532" s="37"/>
      <c r="C532" s="37" t="s">
        <v>360</v>
      </c>
      <c r="D532" s="37" t="s">
        <v>252</v>
      </c>
      <c r="E532" s="37" t="s">
        <v>359</v>
      </c>
      <c r="F532" s="37">
        <f t="shared" si="1"/>
        <v>531</v>
      </c>
      <c r="G532" s="37">
        <f t="array" ref="G532">XLOOKUP(USO_ZONA!$A532,MACROZONAS!B:B,MACROZONAS!A:A)</f>
        <v>6</v>
      </c>
      <c r="H532" s="37">
        <f t="array" ref="H532">XLOOKUP(USO_ZONA!$C532,USOS!H:H,USOS!G:G)</f>
        <v>91</v>
      </c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</row>
    <row r="533" ht="27.75" hidden="1" customHeight="1">
      <c r="A533" s="39" t="s">
        <v>29</v>
      </c>
      <c r="B533" s="39"/>
      <c r="C533" s="39" t="s">
        <v>361</v>
      </c>
      <c r="D533" s="39" t="s">
        <v>252</v>
      </c>
      <c r="E533" s="39" t="s">
        <v>359</v>
      </c>
      <c r="F533" s="39">
        <f t="shared" si="1"/>
        <v>532</v>
      </c>
      <c r="G533" s="39">
        <f t="array" ref="G533">XLOOKUP(USO_ZONA!$A533,MACROZONAS!B:B,MACROZONAS!A:A)</f>
        <v>6</v>
      </c>
      <c r="H533" s="39">
        <f t="array" ref="H533">XLOOKUP(USO_ZONA!$C533,USOS!H:H,USOS!G:G)</f>
        <v>92</v>
      </c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</row>
    <row r="534" ht="27.75" hidden="1" customHeight="1">
      <c r="A534" s="37" t="s">
        <v>29</v>
      </c>
      <c r="B534" s="37"/>
      <c r="C534" s="37" t="s">
        <v>362</v>
      </c>
      <c r="D534" s="37" t="s">
        <v>252</v>
      </c>
      <c r="E534" s="37" t="s">
        <v>359</v>
      </c>
      <c r="F534" s="37">
        <f t="shared" si="1"/>
        <v>533</v>
      </c>
      <c r="G534" s="37">
        <f t="array" ref="G534">XLOOKUP(USO_ZONA!$A534,MACROZONAS!B:B,MACROZONAS!A:A)</f>
        <v>6</v>
      </c>
      <c r="H534" s="37">
        <f t="array" ref="H534">XLOOKUP(USO_ZONA!$C534,USOS!H:H,USOS!G:G)</f>
        <v>93</v>
      </c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</row>
    <row r="535" ht="27.75" hidden="1" customHeight="1">
      <c r="A535" s="39" t="s">
        <v>29</v>
      </c>
      <c r="B535" s="39"/>
      <c r="C535" s="39" t="s">
        <v>363</v>
      </c>
      <c r="D535" s="39" t="s">
        <v>252</v>
      </c>
      <c r="E535" s="39" t="s">
        <v>359</v>
      </c>
      <c r="F535" s="39">
        <f t="shared" si="1"/>
        <v>534</v>
      </c>
      <c r="G535" s="39">
        <f t="array" ref="G535">XLOOKUP(USO_ZONA!$A535,MACROZONAS!B:B,MACROZONAS!A:A)</f>
        <v>6</v>
      </c>
      <c r="H535" s="39">
        <f t="array" ref="H535">XLOOKUP(USO_ZONA!$C535,USOS!H:H,USOS!G:G)</f>
        <v>94</v>
      </c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</row>
    <row r="536" ht="27.75" hidden="1" customHeight="1">
      <c r="A536" s="37" t="s">
        <v>43</v>
      </c>
      <c r="B536" s="37"/>
      <c r="C536" s="42" t="s">
        <v>358</v>
      </c>
      <c r="D536" s="37" t="s">
        <v>252</v>
      </c>
      <c r="E536" s="37" t="s">
        <v>359</v>
      </c>
      <c r="F536" s="37">
        <f t="shared" si="1"/>
        <v>535</v>
      </c>
      <c r="G536" s="37">
        <f t="array" ref="G536">XLOOKUP(USO_ZONA!$A536,MACROZONAS!B:B,MACROZONAS!A:A)</f>
        <v>7</v>
      </c>
      <c r="H536" s="37">
        <f t="array" ref="H536">XLOOKUP(USO_ZONA!$C536,USOS!H:H,USOS!G:G)</f>
        <v>90</v>
      </c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</row>
    <row r="537" ht="27.75" hidden="1" customHeight="1">
      <c r="A537" s="39" t="s">
        <v>43</v>
      </c>
      <c r="B537" s="39"/>
      <c r="C537" s="39" t="s">
        <v>360</v>
      </c>
      <c r="D537" s="39" t="s">
        <v>252</v>
      </c>
      <c r="E537" s="39" t="s">
        <v>359</v>
      </c>
      <c r="F537" s="39">
        <f t="shared" si="1"/>
        <v>536</v>
      </c>
      <c r="G537" s="39">
        <f t="array" ref="G537">XLOOKUP(USO_ZONA!$A537,MACROZONAS!B:B,MACROZONAS!A:A)</f>
        <v>7</v>
      </c>
      <c r="H537" s="39">
        <f t="array" ref="H537">XLOOKUP(USO_ZONA!$C537,USOS!H:H,USOS!G:G)</f>
        <v>91</v>
      </c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</row>
    <row r="538" ht="27.75" hidden="1" customHeight="1">
      <c r="A538" s="37" t="s">
        <v>43</v>
      </c>
      <c r="B538" s="37"/>
      <c r="C538" s="37" t="s">
        <v>361</v>
      </c>
      <c r="D538" s="37" t="s">
        <v>252</v>
      </c>
      <c r="E538" s="37" t="s">
        <v>359</v>
      </c>
      <c r="F538" s="37">
        <f t="shared" si="1"/>
        <v>537</v>
      </c>
      <c r="G538" s="37">
        <f t="array" ref="G538">XLOOKUP(USO_ZONA!$A538,MACROZONAS!B:B,MACROZONAS!A:A)</f>
        <v>7</v>
      </c>
      <c r="H538" s="37">
        <f t="array" ref="H538">XLOOKUP(USO_ZONA!$C538,USOS!H:H,USOS!G:G)</f>
        <v>92</v>
      </c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</row>
    <row r="539" ht="27.75" hidden="1" customHeight="1">
      <c r="A539" s="39" t="s">
        <v>43</v>
      </c>
      <c r="B539" s="39"/>
      <c r="C539" s="39" t="s">
        <v>362</v>
      </c>
      <c r="D539" s="39" t="s">
        <v>252</v>
      </c>
      <c r="E539" s="39" t="s">
        <v>359</v>
      </c>
      <c r="F539" s="39">
        <f t="shared" si="1"/>
        <v>538</v>
      </c>
      <c r="G539" s="39">
        <f t="array" ref="G539">XLOOKUP(USO_ZONA!$A539,MACROZONAS!B:B,MACROZONAS!A:A)</f>
        <v>7</v>
      </c>
      <c r="H539" s="39">
        <f t="array" ref="H539">XLOOKUP(USO_ZONA!$C539,USOS!H:H,USOS!G:G)</f>
        <v>93</v>
      </c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</row>
    <row r="540" ht="27.75" hidden="1" customHeight="1">
      <c r="A540" s="37" t="s">
        <v>43</v>
      </c>
      <c r="B540" s="37"/>
      <c r="C540" s="37" t="s">
        <v>363</v>
      </c>
      <c r="D540" s="37" t="s">
        <v>252</v>
      </c>
      <c r="E540" s="37" t="s">
        <v>359</v>
      </c>
      <c r="F540" s="37">
        <f t="shared" si="1"/>
        <v>539</v>
      </c>
      <c r="G540" s="37">
        <f t="array" ref="G540">XLOOKUP(USO_ZONA!$A540,MACROZONAS!B:B,MACROZONAS!A:A)</f>
        <v>7</v>
      </c>
      <c r="H540" s="37">
        <f t="array" ref="H540">XLOOKUP(USO_ZONA!$C540,USOS!H:H,USOS!G:G)</f>
        <v>94</v>
      </c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</row>
    <row r="541" ht="27.75" customHeight="1">
      <c r="A541" s="32"/>
      <c r="B541" s="32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</row>
    <row r="542" ht="27.75" customHeight="1">
      <c r="A542" s="32"/>
      <c r="B542" s="32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</row>
    <row r="543" ht="27.75" customHeight="1">
      <c r="A543" s="32"/>
      <c r="B543" s="32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</row>
    <row r="544" ht="27.75" customHeight="1">
      <c r="A544" s="32"/>
      <c r="B544" s="32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</row>
    <row r="545" ht="27.75" customHeight="1">
      <c r="A545" s="32"/>
      <c r="B545" s="32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</row>
    <row r="546" ht="27.75" customHeight="1">
      <c r="A546" s="32"/>
      <c r="B546" s="32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</row>
    <row r="547" ht="27.75" customHeight="1">
      <c r="A547" s="32"/>
      <c r="B547" s="32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</row>
    <row r="548" ht="27.75" customHeight="1">
      <c r="A548" s="32"/>
      <c r="B548" s="32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</row>
    <row r="549" ht="27.75" customHeight="1">
      <c r="A549" s="32"/>
      <c r="B549" s="32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</row>
    <row r="550" ht="27.75" customHeight="1">
      <c r="A550" s="32"/>
      <c r="B550" s="32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</row>
    <row r="551" ht="27.75" customHeight="1">
      <c r="A551" s="32"/>
      <c r="B551" s="32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</row>
    <row r="552" ht="27.75" customHeight="1">
      <c r="A552" s="32"/>
      <c r="B552" s="32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</row>
    <row r="553" ht="27.75" customHeight="1">
      <c r="A553" s="32"/>
      <c r="B553" s="32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</row>
    <row r="554" ht="27.75" customHeight="1">
      <c r="A554" s="32"/>
      <c r="B554" s="32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</row>
    <row r="555" ht="27.75" customHeight="1">
      <c r="A555" s="32"/>
      <c r="B555" s="32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</row>
    <row r="556" ht="27.75" customHeight="1">
      <c r="A556" s="32"/>
      <c r="B556" s="32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</row>
    <row r="557" ht="27.75" customHeight="1">
      <c r="A557" s="32"/>
      <c r="B557" s="32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</row>
    <row r="558" ht="27.75" customHeight="1">
      <c r="A558" s="32"/>
      <c r="B558" s="32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</row>
    <row r="559" ht="27.75" customHeight="1">
      <c r="A559" s="32"/>
      <c r="B559" s="32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</row>
    <row r="560" ht="27.75" customHeight="1">
      <c r="A560" s="32"/>
      <c r="B560" s="32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</row>
    <row r="561" ht="27.75" customHeight="1">
      <c r="A561" s="32"/>
      <c r="B561" s="32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</row>
    <row r="562" ht="27.75" customHeight="1">
      <c r="A562" s="32"/>
      <c r="B562" s="32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</row>
    <row r="563" ht="27.75" customHeight="1">
      <c r="A563" s="32"/>
      <c r="B563" s="32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</row>
    <row r="564" ht="27.75" customHeight="1">
      <c r="A564" s="32"/>
      <c r="B564" s="32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</row>
    <row r="565" ht="27.75" customHeight="1">
      <c r="A565" s="32"/>
      <c r="B565" s="32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</row>
    <row r="566" ht="27.75" customHeight="1">
      <c r="A566" s="32"/>
      <c r="B566" s="32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</row>
    <row r="567" ht="27.75" customHeight="1">
      <c r="A567" s="32"/>
      <c r="B567" s="32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</row>
    <row r="568" ht="27.75" customHeight="1">
      <c r="A568" s="32"/>
      <c r="B568" s="32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</row>
    <row r="569" ht="27.75" customHeight="1">
      <c r="A569" s="32"/>
      <c r="B569" s="32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</row>
    <row r="570" ht="27.75" customHeight="1">
      <c r="A570" s="32"/>
      <c r="B570" s="32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</row>
    <row r="571" ht="27.75" customHeight="1">
      <c r="A571" s="32"/>
      <c r="B571" s="32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</row>
    <row r="572" ht="27.75" customHeight="1">
      <c r="A572" s="32"/>
      <c r="B572" s="32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</row>
    <row r="573" ht="27.75" customHeight="1">
      <c r="A573" s="32"/>
      <c r="B573" s="32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</row>
    <row r="574" ht="27.75" customHeight="1">
      <c r="A574" s="32"/>
      <c r="B574" s="32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</row>
    <row r="575" ht="27.75" customHeight="1">
      <c r="A575" s="32"/>
      <c r="B575" s="32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</row>
    <row r="576" ht="27.75" customHeight="1">
      <c r="A576" s="32"/>
      <c r="B576" s="32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</row>
    <row r="577" ht="27.75" customHeight="1">
      <c r="A577" s="32"/>
      <c r="B577" s="32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</row>
    <row r="578" ht="27.75" customHeight="1">
      <c r="A578" s="32"/>
      <c r="B578" s="32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</row>
    <row r="579" ht="27.75" customHeight="1">
      <c r="A579" s="32"/>
      <c r="B579" s="32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</row>
    <row r="580" ht="27.75" customHeight="1">
      <c r="A580" s="32"/>
      <c r="B580" s="32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</row>
    <row r="581" ht="27.75" customHeight="1">
      <c r="A581" s="32"/>
      <c r="B581" s="32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</row>
    <row r="582" ht="27.75" customHeight="1">
      <c r="A582" s="32"/>
      <c r="B582" s="32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</row>
    <row r="583" ht="27.75" customHeight="1">
      <c r="A583" s="32"/>
      <c r="B583" s="32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</row>
    <row r="584" ht="27.75" customHeight="1">
      <c r="A584" s="32"/>
      <c r="B584" s="32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</row>
    <row r="585" ht="27.75" customHeight="1">
      <c r="A585" s="32"/>
      <c r="B585" s="32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</row>
    <row r="586" ht="27.75" customHeight="1">
      <c r="A586" s="32"/>
      <c r="B586" s="32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</row>
    <row r="587" ht="27.75" customHeight="1">
      <c r="A587" s="32"/>
      <c r="B587" s="32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</row>
    <row r="588" ht="27.75" customHeight="1">
      <c r="A588" s="32"/>
      <c r="B588" s="32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</row>
    <row r="589" ht="27.75" customHeight="1">
      <c r="A589" s="32"/>
      <c r="B589" s="32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</row>
    <row r="590" ht="27.75" customHeight="1">
      <c r="A590" s="32"/>
      <c r="B590" s="32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</row>
    <row r="591" ht="27.75" customHeight="1">
      <c r="A591" s="32"/>
      <c r="B591" s="32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</row>
    <row r="592" ht="27.75" customHeight="1">
      <c r="A592" s="32"/>
      <c r="B592" s="32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</row>
    <row r="593" ht="27.75" customHeight="1">
      <c r="A593" s="32"/>
      <c r="B593" s="32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</row>
    <row r="594" ht="27.75" customHeight="1">
      <c r="A594" s="32"/>
      <c r="B594" s="32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</row>
    <row r="595" ht="27.75" customHeight="1">
      <c r="A595" s="32"/>
      <c r="B595" s="32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</row>
    <row r="596" ht="27.75" customHeight="1">
      <c r="A596" s="32"/>
      <c r="B596" s="32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</row>
    <row r="597" ht="27.75" customHeight="1">
      <c r="A597" s="32"/>
      <c r="B597" s="32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</row>
    <row r="598" ht="27.75" customHeight="1">
      <c r="A598" s="32"/>
      <c r="B598" s="32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</row>
    <row r="599" ht="27.75" customHeight="1">
      <c r="A599" s="32"/>
      <c r="B599" s="32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</row>
    <row r="600" ht="27.75" customHeight="1">
      <c r="A600" s="32"/>
      <c r="B600" s="32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</row>
    <row r="601" ht="27.75" customHeight="1">
      <c r="A601" s="32"/>
      <c r="B601" s="32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</row>
    <row r="602" ht="27.75" customHeight="1">
      <c r="A602" s="32"/>
      <c r="B602" s="32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</row>
    <row r="603" ht="27.75" customHeight="1">
      <c r="A603" s="32"/>
      <c r="B603" s="32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</row>
    <row r="604" ht="27.75" customHeight="1">
      <c r="A604" s="32"/>
      <c r="B604" s="32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</row>
    <row r="605" ht="27.75" customHeight="1">
      <c r="A605" s="32"/>
      <c r="B605" s="32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</row>
    <row r="606" ht="27.75" customHeight="1">
      <c r="A606" s="32"/>
      <c r="B606" s="32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</row>
    <row r="607" ht="27.75" customHeight="1">
      <c r="A607" s="32"/>
      <c r="B607" s="32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</row>
    <row r="608" ht="27.75" customHeight="1">
      <c r="A608" s="32"/>
      <c r="B608" s="32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</row>
    <row r="609" ht="27.75" customHeight="1">
      <c r="A609" s="32"/>
      <c r="B609" s="32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</row>
    <row r="610" ht="27.75" customHeight="1">
      <c r="A610" s="32"/>
      <c r="B610" s="32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</row>
    <row r="611" ht="27.75" customHeight="1">
      <c r="A611" s="32"/>
      <c r="B611" s="32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</row>
    <row r="612" ht="27.75" customHeight="1">
      <c r="A612" s="32"/>
      <c r="B612" s="32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</row>
    <row r="613" ht="27.75" customHeight="1">
      <c r="A613" s="32"/>
      <c r="B613" s="32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</row>
    <row r="614" ht="27.75" customHeight="1">
      <c r="A614" s="32"/>
      <c r="B614" s="32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</row>
    <row r="615" ht="27.75" customHeight="1">
      <c r="A615" s="32"/>
      <c r="B615" s="32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</row>
    <row r="616" ht="27.75" customHeight="1">
      <c r="A616" s="32"/>
      <c r="B616" s="32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</row>
    <row r="617" ht="27.75" customHeight="1">
      <c r="A617" s="32"/>
      <c r="B617" s="32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</row>
    <row r="618" ht="27.75" customHeight="1">
      <c r="A618" s="32"/>
      <c r="B618" s="32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</row>
    <row r="619" ht="27.75" customHeight="1">
      <c r="A619" s="32"/>
      <c r="B619" s="32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</row>
    <row r="620" ht="27.75" customHeight="1">
      <c r="A620" s="32"/>
      <c r="B620" s="32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</row>
    <row r="621" ht="27.75" customHeight="1">
      <c r="A621" s="32"/>
      <c r="B621" s="32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</row>
    <row r="622" ht="27.75" customHeight="1">
      <c r="A622" s="32"/>
      <c r="B622" s="32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</row>
    <row r="623" ht="27.75" customHeight="1">
      <c r="A623" s="32"/>
      <c r="B623" s="32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</row>
    <row r="624" ht="27.75" customHeight="1">
      <c r="A624" s="32"/>
      <c r="B624" s="32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</row>
    <row r="625" ht="27.75" customHeight="1">
      <c r="A625" s="32"/>
      <c r="B625" s="32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</row>
    <row r="626" ht="27.75" customHeight="1">
      <c r="A626" s="32"/>
      <c r="B626" s="32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</row>
    <row r="627" ht="27.75" customHeight="1">
      <c r="A627" s="32"/>
      <c r="B627" s="32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</row>
    <row r="628" ht="27.75" customHeight="1">
      <c r="A628" s="32"/>
      <c r="B628" s="32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</row>
    <row r="629" ht="27.75" customHeight="1">
      <c r="A629" s="32"/>
      <c r="B629" s="32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</row>
    <row r="630" ht="27.75" customHeight="1">
      <c r="A630" s="32"/>
      <c r="B630" s="32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</row>
    <row r="631" ht="27.75" customHeight="1">
      <c r="A631" s="32"/>
      <c r="B631" s="32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</row>
    <row r="632" ht="27.75" customHeight="1">
      <c r="A632" s="32"/>
      <c r="B632" s="32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</row>
    <row r="633" ht="27.75" customHeight="1">
      <c r="A633" s="32"/>
      <c r="B633" s="32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</row>
    <row r="634" ht="27.75" customHeight="1">
      <c r="A634" s="32"/>
      <c r="B634" s="32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</row>
    <row r="635" ht="27.75" customHeight="1">
      <c r="A635" s="32"/>
      <c r="B635" s="32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</row>
    <row r="636" ht="27.75" customHeight="1">
      <c r="A636" s="32"/>
      <c r="B636" s="32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</row>
    <row r="637" ht="27.75" customHeight="1">
      <c r="A637" s="32"/>
      <c r="B637" s="32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</row>
    <row r="638" ht="27.75" customHeight="1">
      <c r="A638" s="32"/>
      <c r="B638" s="32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</row>
    <row r="639" ht="27.75" customHeight="1">
      <c r="A639" s="32"/>
      <c r="B639" s="32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</row>
    <row r="640" ht="27.75" customHeight="1">
      <c r="A640" s="32"/>
      <c r="B640" s="32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</row>
    <row r="641" ht="27.75" customHeight="1">
      <c r="A641" s="32"/>
      <c r="B641" s="32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</row>
    <row r="642" ht="27.75" customHeight="1">
      <c r="A642" s="32"/>
      <c r="B642" s="32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</row>
    <row r="643" ht="27.75" customHeight="1">
      <c r="A643" s="32"/>
      <c r="B643" s="32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</row>
    <row r="644" ht="27.75" customHeight="1">
      <c r="A644" s="32"/>
      <c r="B644" s="32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</row>
    <row r="645" ht="27.75" customHeight="1">
      <c r="A645" s="32"/>
      <c r="B645" s="32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</row>
    <row r="646" ht="27.75" customHeight="1">
      <c r="A646" s="32"/>
      <c r="B646" s="32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</row>
    <row r="647" ht="27.75" customHeight="1">
      <c r="A647" s="32"/>
      <c r="B647" s="32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</row>
    <row r="648" ht="27.75" customHeight="1">
      <c r="A648" s="32"/>
      <c r="B648" s="32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</row>
    <row r="649" ht="27.75" customHeight="1">
      <c r="A649" s="32"/>
      <c r="B649" s="32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</row>
    <row r="650" ht="27.75" customHeight="1">
      <c r="A650" s="32"/>
      <c r="B650" s="32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</row>
    <row r="651" ht="27.75" customHeight="1">
      <c r="A651" s="32"/>
      <c r="B651" s="32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</row>
    <row r="652" ht="27.75" customHeight="1">
      <c r="A652" s="32"/>
      <c r="B652" s="32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</row>
    <row r="653" ht="27.75" customHeight="1">
      <c r="A653" s="32"/>
      <c r="B653" s="32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</row>
    <row r="654" ht="27.75" customHeight="1">
      <c r="A654" s="32"/>
      <c r="B654" s="32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</row>
    <row r="655" ht="27.75" customHeight="1">
      <c r="A655" s="32"/>
      <c r="B655" s="32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</row>
    <row r="656" ht="27.75" customHeight="1">
      <c r="A656" s="32"/>
      <c r="B656" s="32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</row>
    <row r="657" ht="27.75" customHeight="1">
      <c r="A657" s="32"/>
      <c r="B657" s="32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</row>
    <row r="658" ht="27.75" customHeight="1">
      <c r="A658" s="32"/>
      <c r="B658" s="32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</row>
    <row r="659" ht="27.75" customHeight="1">
      <c r="A659" s="32"/>
      <c r="B659" s="32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</row>
    <row r="660" ht="27.75" customHeight="1">
      <c r="A660" s="32"/>
      <c r="B660" s="32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</row>
    <row r="661" ht="27.75" customHeight="1">
      <c r="A661" s="32"/>
      <c r="B661" s="32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</row>
    <row r="662" ht="27.75" customHeight="1">
      <c r="A662" s="32"/>
      <c r="B662" s="32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</row>
    <row r="663" ht="27.75" customHeight="1">
      <c r="A663" s="32"/>
      <c r="B663" s="32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</row>
    <row r="664" ht="27.75" customHeight="1">
      <c r="A664" s="32"/>
      <c r="B664" s="32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</row>
    <row r="665" ht="27.75" customHeight="1">
      <c r="A665" s="32"/>
      <c r="B665" s="32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</row>
    <row r="666" ht="27.75" customHeight="1">
      <c r="A666" s="32"/>
      <c r="B666" s="32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</row>
    <row r="667" ht="27.75" customHeight="1">
      <c r="A667" s="32"/>
      <c r="B667" s="32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</row>
    <row r="668" ht="27.75" customHeight="1">
      <c r="A668" s="32"/>
      <c r="B668" s="32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</row>
    <row r="669" ht="27.75" customHeight="1">
      <c r="A669" s="32"/>
      <c r="B669" s="32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</row>
    <row r="670" ht="27.75" customHeight="1">
      <c r="A670" s="32"/>
      <c r="B670" s="32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</row>
    <row r="671" ht="27.75" customHeight="1">
      <c r="A671" s="32"/>
      <c r="B671" s="32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</row>
    <row r="672" ht="27.75" customHeight="1">
      <c r="A672" s="32"/>
      <c r="B672" s="32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</row>
    <row r="673" ht="27.75" customHeight="1">
      <c r="A673" s="32"/>
      <c r="B673" s="32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</row>
    <row r="674" ht="27.75" customHeight="1">
      <c r="A674" s="32"/>
      <c r="B674" s="32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</row>
    <row r="675" ht="27.75" customHeight="1">
      <c r="A675" s="32"/>
      <c r="B675" s="32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</row>
    <row r="676" ht="27.75" customHeight="1">
      <c r="A676" s="32"/>
      <c r="B676" s="32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</row>
    <row r="677" ht="27.75" customHeight="1">
      <c r="A677" s="32"/>
      <c r="B677" s="32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</row>
    <row r="678" ht="27.75" customHeight="1">
      <c r="A678" s="32"/>
      <c r="B678" s="32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</row>
    <row r="679" ht="27.75" customHeight="1">
      <c r="A679" s="32"/>
      <c r="B679" s="32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</row>
    <row r="680" ht="27.75" customHeight="1">
      <c r="A680" s="32"/>
      <c r="B680" s="32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</row>
    <row r="681" ht="27.75" customHeight="1">
      <c r="A681" s="32"/>
      <c r="B681" s="32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</row>
    <row r="682" ht="27.75" customHeight="1">
      <c r="A682" s="32"/>
      <c r="B682" s="32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</row>
    <row r="683" ht="27.75" customHeight="1">
      <c r="A683" s="32"/>
      <c r="B683" s="32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</row>
    <row r="684" ht="27.75" customHeight="1">
      <c r="A684" s="32"/>
      <c r="B684" s="32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</row>
    <row r="685" ht="27.75" customHeight="1">
      <c r="A685" s="32"/>
      <c r="B685" s="32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</row>
    <row r="686" ht="27.75" customHeight="1">
      <c r="A686" s="32"/>
      <c r="B686" s="32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</row>
    <row r="687" ht="27.75" customHeight="1">
      <c r="A687" s="32"/>
      <c r="B687" s="32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</row>
    <row r="688" ht="27.75" customHeight="1">
      <c r="A688" s="32"/>
      <c r="B688" s="32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</row>
    <row r="689" ht="27.75" customHeight="1">
      <c r="A689" s="32"/>
      <c r="B689" s="32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</row>
    <row r="690" ht="27.75" customHeight="1">
      <c r="A690" s="32"/>
      <c r="B690" s="32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</row>
    <row r="691" ht="27.75" customHeight="1">
      <c r="A691" s="32"/>
      <c r="B691" s="32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</row>
    <row r="692" ht="27.75" customHeight="1">
      <c r="A692" s="32"/>
      <c r="B692" s="32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</row>
    <row r="693" ht="27.75" customHeight="1">
      <c r="A693" s="32"/>
      <c r="B693" s="32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</row>
    <row r="694" ht="27.75" customHeight="1">
      <c r="A694" s="32"/>
      <c r="B694" s="32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</row>
    <row r="695" ht="27.75" customHeight="1">
      <c r="A695" s="32"/>
      <c r="B695" s="32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</row>
    <row r="696" ht="27.75" customHeight="1">
      <c r="A696" s="32"/>
      <c r="B696" s="32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</row>
    <row r="697" ht="27.75" customHeight="1">
      <c r="A697" s="32"/>
      <c r="B697" s="32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</row>
    <row r="698" ht="27.75" customHeight="1">
      <c r="A698" s="32"/>
      <c r="B698" s="32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</row>
    <row r="699" ht="27.75" customHeight="1">
      <c r="A699" s="32"/>
      <c r="B699" s="32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</row>
    <row r="700" ht="27.75" customHeight="1">
      <c r="A700" s="32"/>
      <c r="B700" s="32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</row>
    <row r="701" ht="27.75" customHeight="1">
      <c r="A701" s="32"/>
      <c r="B701" s="32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</row>
    <row r="702" ht="27.75" customHeight="1">
      <c r="A702" s="32"/>
      <c r="B702" s="32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</row>
    <row r="703" ht="27.75" customHeight="1">
      <c r="A703" s="32"/>
      <c r="B703" s="32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</row>
    <row r="704" ht="27.75" customHeight="1">
      <c r="A704" s="32"/>
      <c r="B704" s="32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</row>
    <row r="705" ht="27.75" customHeight="1">
      <c r="A705" s="32"/>
      <c r="B705" s="32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</row>
    <row r="706" ht="27.75" customHeight="1">
      <c r="A706" s="32"/>
      <c r="B706" s="32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</row>
    <row r="707" ht="27.75" customHeight="1">
      <c r="A707" s="32"/>
      <c r="B707" s="32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</row>
    <row r="708" ht="27.75" customHeight="1">
      <c r="A708" s="32"/>
      <c r="B708" s="32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</row>
    <row r="709" ht="27.75" customHeight="1">
      <c r="A709" s="32"/>
      <c r="B709" s="32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</row>
    <row r="710" ht="27.75" customHeight="1">
      <c r="A710" s="32"/>
      <c r="B710" s="32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</row>
    <row r="711" ht="27.75" customHeight="1">
      <c r="A711" s="32"/>
      <c r="B711" s="32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</row>
    <row r="712" ht="27.75" customHeight="1">
      <c r="A712" s="32"/>
      <c r="B712" s="32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</row>
    <row r="713" ht="27.75" customHeight="1">
      <c r="A713" s="32"/>
      <c r="B713" s="32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</row>
    <row r="714" ht="27.75" customHeight="1">
      <c r="A714" s="32"/>
      <c r="B714" s="32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</row>
    <row r="715" ht="27.75" customHeight="1">
      <c r="A715" s="32"/>
      <c r="B715" s="32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</row>
    <row r="716" ht="27.75" customHeight="1">
      <c r="A716" s="32"/>
      <c r="B716" s="32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</row>
    <row r="717" ht="27.75" customHeight="1">
      <c r="A717" s="32"/>
      <c r="B717" s="32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</row>
    <row r="718" ht="27.75" customHeight="1">
      <c r="A718" s="32"/>
      <c r="B718" s="32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</row>
    <row r="719" ht="27.75" customHeight="1">
      <c r="A719" s="32"/>
      <c r="B719" s="32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</row>
    <row r="720" ht="27.75" customHeight="1">
      <c r="A720" s="32"/>
      <c r="B720" s="32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</row>
    <row r="721" ht="27.75" customHeight="1">
      <c r="A721" s="32"/>
      <c r="B721" s="32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</row>
    <row r="722" ht="27.75" customHeight="1">
      <c r="A722" s="32"/>
      <c r="B722" s="32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</row>
    <row r="723" ht="27.75" customHeight="1">
      <c r="A723" s="32"/>
      <c r="B723" s="32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</row>
    <row r="724" ht="27.75" customHeight="1">
      <c r="A724" s="32"/>
      <c r="B724" s="32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</row>
    <row r="725" ht="27.75" customHeight="1">
      <c r="A725" s="32"/>
      <c r="B725" s="32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</row>
    <row r="726" ht="27.75" customHeight="1">
      <c r="A726" s="32"/>
      <c r="B726" s="32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</row>
    <row r="727" ht="27.75" customHeight="1">
      <c r="A727" s="32"/>
      <c r="B727" s="32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</row>
    <row r="728" ht="27.75" customHeight="1">
      <c r="A728" s="32"/>
      <c r="B728" s="32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</row>
    <row r="729" ht="27.75" customHeight="1">
      <c r="A729" s="32"/>
      <c r="B729" s="32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</row>
    <row r="730" ht="27.75" customHeight="1">
      <c r="A730" s="32"/>
      <c r="B730" s="32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</row>
    <row r="731" ht="27.75" customHeight="1">
      <c r="A731" s="32"/>
      <c r="B731" s="32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</row>
    <row r="732" ht="27.75" customHeight="1">
      <c r="A732" s="32"/>
      <c r="B732" s="32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</row>
    <row r="733" ht="27.75" customHeight="1">
      <c r="A733" s="32"/>
      <c r="B733" s="32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</row>
    <row r="734" ht="27.75" customHeight="1">
      <c r="A734" s="32"/>
      <c r="B734" s="32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</row>
    <row r="735" ht="27.75" customHeight="1">
      <c r="A735" s="32"/>
      <c r="B735" s="32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</row>
    <row r="736" ht="27.75" customHeight="1">
      <c r="A736" s="32"/>
      <c r="B736" s="32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</row>
    <row r="737" ht="27.75" customHeight="1">
      <c r="A737" s="32"/>
      <c r="B737" s="32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</row>
    <row r="738" ht="27.75" customHeight="1">
      <c r="A738" s="32"/>
      <c r="B738" s="32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</row>
    <row r="739" ht="27.75" customHeight="1">
      <c r="A739" s="32"/>
      <c r="B739" s="32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</row>
    <row r="740" ht="27.75" customHeight="1">
      <c r="A740" s="32"/>
      <c r="B740" s="32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</row>
    <row r="741" ht="27.75" customHeight="1">
      <c r="A741" s="32"/>
      <c r="B741" s="32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</row>
    <row r="742" ht="27.75" customHeight="1">
      <c r="A742" s="32"/>
      <c r="B742" s="32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</row>
    <row r="743" ht="27.75" customHeight="1">
      <c r="A743" s="32"/>
      <c r="B743" s="32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</row>
    <row r="744" ht="27.75" customHeight="1">
      <c r="A744" s="32"/>
      <c r="B744" s="32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</row>
    <row r="745" ht="27.75" customHeight="1">
      <c r="A745" s="32"/>
      <c r="B745" s="32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</row>
    <row r="746" ht="27.75" customHeight="1">
      <c r="A746" s="32"/>
      <c r="B746" s="32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</row>
    <row r="747" ht="27.75" customHeight="1">
      <c r="A747" s="32"/>
      <c r="B747" s="32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</row>
    <row r="748" ht="27.75" customHeight="1">
      <c r="A748" s="32"/>
      <c r="B748" s="32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</row>
    <row r="749" ht="27.75" customHeight="1">
      <c r="A749" s="32"/>
      <c r="B749" s="32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</row>
    <row r="750" ht="27.75" customHeight="1">
      <c r="A750" s="32"/>
      <c r="B750" s="32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</row>
    <row r="751" ht="27.75" customHeight="1">
      <c r="A751" s="32"/>
      <c r="B751" s="32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</row>
    <row r="752" ht="27.75" customHeight="1">
      <c r="A752" s="32"/>
      <c r="B752" s="32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</row>
    <row r="753" ht="27.75" customHeight="1">
      <c r="A753" s="32"/>
      <c r="B753" s="32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</row>
    <row r="754" ht="27.75" customHeight="1">
      <c r="A754" s="32"/>
      <c r="B754" s="32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</row>
    <row r="755" ht="27.75" customHeight="1">
      <c r="A755" s="32"/>
      <c r="B755" s="32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</row>
    <row r="756" ht="27.75" customHeight="1">
      <c r="A756" s="32"/>
      <c r="B756" s="32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</row>
    <row r="757" ht="27.75" customHeight="1">
      <c r="A757" s="32"/>
      <c r="B757" s="32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</row>
    <row r="758" ht="27.75" customHeight="1">
      <c r="A758" s="32"/>
      <c r="B758" s="32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</row>
    <row r="759" ht="27.75" customHeight="1">
      <c r="A759" s="32"/>
      <c r="B759" s="32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</row>
    <row r="760" ht="27.75" customHeight="1">
      <c r="A760" s="32"/>
      <c r="B760" s="32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</row>
    <row r="761" ht="27.75" customHeight="1">
      <c r="A761" s="32"/>
      <c r="B761" s="32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</row>
    <row r="762" ht="27.75" customHeight="1">
      <c r="A762" s="32"/>
      <c r="B762" s="32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</row>
    <row r="763" ht="27.75" customHeight="1">
      <c r="A763" s="32"/>
      <c r="B763" s="32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</row>
    <row r="764" ht="27.75" customHeight="1">
      <c r="A764" s="32"/>
      <c r="B764" s="32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</row>
    <row r="765" ht="27.75" customHeight="1">
      <c r="A765" s="32"/>
      <c r="B765" s="32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</row>
    <row r="766" ht="27.75" customHeight="1">
      <c r="A766" s="32"/>
      <c r="B766" s="32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</row>
    <row r="767" ht="27.75" customHeight="1">
      <c r="A767" s="32"/>
      <c r="B767" s="32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</row>
    <row r="768" ht="27.75" customHeight="1">
      <c r="A768" s="32"/>
      <c r="B768" s="32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</row>
    <row r="769" ht="27.75" customHeight="1">
      <c r="A769" s="32"/>
      <c r="B769" s="32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</row>
    <row r="770" ht="27.75" customHeight="1">
      <c r="A770" s="32"/>
      <c r="B770" s="32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</row>
    <row r="771" ht="27.75" customHeight="1">
      <c r="A771" s="32"/>
      <c r="B771" s="32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</row>
    <row r="772" ht="27.75" customHeight="1">
      <c r="A772" s="32"/>
      <c r="B772" s="32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</row>
    <row r="773" ht="27.75" customHeight="1">
      <c r="A773" s="32"/>
      <c r="B773" s="32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</row>
    <row r="774" ht="27.75" customHeight="1">
      <c r="A774" s="32"/>
      <c r="B774" s="32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</row>
    <row r="775" ht="27.75" customHeight="1">
      <c r="A775" s="32"/>
      <c r="B775" s="32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</row>
    <row r="776" ht="27.75" customHeight="1">
      <c r="A776" s="32"/>
      <c r="B776" s="32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</row>
    <row r="777" ht="27.75" customHeight="1">
      <c r="A777" s="32"/>
      <c r="B777" s="32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</row>
    <row r="778" ht="27.75" customHeight="1">
      <c r="A778" s="32"/>
      <c r="B778" s="32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</row>
    <row r="779" ht="27.75" customHeight="1">
      <c r="A779" s="32"/>
      <c r="B779" s="32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</row>
    <row r="780" ht="27.75" customHeight="1">
      <c r="A780" s="32"/>
      <c r="B780" s="32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</row>
    <row r="781" ht="27.75" customHeight="1">
      <c r="A781" s="32"/>
      <c r="B781" s="32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</row>
    <row r="782" ht="27.75" customHeight="1">
      <c r="A782" s="32"/>
      <c r="B782" s="32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</row>
    <row r="783" ht="27.75" customHeight="1">
      <c r="A783" s="32"/>
      <c r="B783" s="32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</row>
    <row r="784" ht="27.75" customHeight="1">
      <c r="A784" s="32"/>
      <c r="B784" s="32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</row>
    <row r="785" ht="27.75" customHeight="1">
      <c r="A785" s="32"/>
      <c r="B785" s="32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</row>
    <row r="786" ht="27.75" customHeight="1">
      <c r="A786" s="32"/>
      <c r="B786" s="32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</row>
    <row r="787" ht="27.75" customHeight="1">
      <c r="A787" s="32"/>
      <c r="B787" s="32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</row>
    <row r="788" ht="27.75" customHeight="1">
      <c r="A788" s="32"/>
      <c r="B788" s="32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</row>
    <row r="789" ht="27.75" customHeight="1">
      <c r="A789" s="32"/>
      <c r="B789" s="32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</row>
    <row r="790" ht="27.75" customHeight="1">
      <c r="A790" s="32"/>
      <c r="B790" s="32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</row>
    <row r="791" ht="27.75" customHeight="1">
      <c r="A791" s="32"/>
      <c r="B791" s="32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</row>
    <row r="792" ht="27.75" customHeight="1">
      <c r="A792" s="32"/>
      <c r="B792" s="32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</row>
    <row r="793" ht="27.75" customHeight="1">
      <c r="A793" s="32"/>
      <c r="B793" s="32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</row>
    <row r="794" ht="27.75" customHeight="1">
      <c r="A794" s="32"/>
      <c r="B794" s="32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</row>
    <row r="795" ht="27.75" customHeight="1">
      <c r="A795" s="32"/>
      <c r="B795" s="32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</row>
    <row r="796" ht="27.75" customHeight="1">
      <c r="A796" s="32"/>
      <c r="B796" s="32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</row>
    <row r="797" ht="27.75" customHeight="1">
      <c r="A797" s="32"/>
      <c r="B797" s="32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</row>
    <row r="798" ht="27.75" customHeight="1">
      <c r="A798" s="32"/>
      <c r="B798" s="32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</row>
    <row r="799" ht="27.75" customHeight="1">
      <c r="A799" s="32"/>
      <c r="B799" s="32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</row>
    <row r="800" ht="27.75" customHeight="1">
      <c r="A800" s="32"/>
      <c r="B800" s="32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</row>
    <row r="801" ht="27.75" customHeight="1">
      <c r="A801" s="32"/>
      <c r="B801" s="32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</row>
    <row r="802" ht="27.75" customHeight="1">
      <c r="A802" s="32"/>
      <c r="B802" s="32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</row>
    <row r="803" ht="27.75" customHeight="1">
      <c r="A803" s="32"/>
      <c r="B803" s="32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</row>
    <row r="804" ht="27.75" customHeight="1">
      <c r="A804" s="32"/>
      <c r="B804" s="32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</row>
    <row r="805" ht="27.75" customHeight="1">
      <c r="A805" s="32"/>
      <c r="B805" s="32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</row>
    <row r="806" ht="27.75" customHeight="1">
      <c r="A806" s="32"/>
      <c r="B806" s="32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</row>
    <row r="807" ht="27.75" customHeight="1">
      <c r="A807" s="32"/>
      <c r="B807" s="32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</row>
    <row r="808" ht="27.75" customHeight="1">
      <c r="A808" s="32"/>
      <c r="B808" s="32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</row>
    <row r="809" ht="27.75" customHeight="1">
      <c r="A809" s="32"/>
      <c r="B809" s="32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</row>
    <row r="810" ht="27.75" customHeight="1">
      <c r="A810" s="32"/>
      <c r="B810" s="32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</row>
    <row r="811" ht="27.75" customHeight="1">
      <c r="A811" s="32"/>
      <c r="B811" s="32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</row>
    <row r="812" ht="27.75" customHeight="1">
      <c r="A812" s="32"/>
      <c r="B812" s="32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</row>
    <row r="813" ht="27.75" customHeight="1">
      <c r="A813" s="32"/>
      <c r="B813" s="32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</row>
    <row r="814" ht="27.75" customHeight="1">
      <c r="A814" s="32"/>
      <c r="B814" s="32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</row>
    <row r="815" ht="27.75" customHeight="1">
      <c r="A815" s="32"/>
      <c r="B815" s="32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</row>
    <row r="816" ht="27.75" customHeight="1">
      <c r="A816" s="32"/>
      <c r="B816" s="32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</row>
    <row r="817" ht="27.75" customHeight="1">
      <c r="A817" s="32"/>
      <c r="B817" s="32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</row>
    <row r="818" ht="27.75" customHeight="1">
      <c r="A818" s="32"/>
      <c r="B818" s="32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</row>
    <row r="819" ht="27.75" customHeight="1">
      <c r="A819" s="32"/>
      <c r="B819" s="32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</row>
    <row r="820" ht="27.75" customHeight="1">
      <c r="A820" s="32"/>
      <c r="B820" s="32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</row>
    <row r="821" ht="27.75" customHeight="1">
      <c r="A821" s="32"/>
      <c r="B821" s="32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</row>
    <row r="822" ht="27.75" customHeight="1">
      <c r="A822" s="32"/>
      <c r="B822" s="32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</row>
    <row r="823" ht="27.75" customHeight="1">
      <c r="A823" s="32"/>
      <c r="B823" s="32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</row>
    <row r="824" ht="27.75" customHeight="1">
      <c r="A824" s="32"/>
      <c r="B824" s="32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</row>
    <row r="825" ht="27.75" customHeight="1">
      <c r="A825" s="32"/>
      <c r="B825" s="32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</row>
    <row r="826" ht="27.75" customHeight="1">
      <c r="A826" s="32"/>
      <c r="B826" s="32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</row>
    <row r="827" ht="27.75" customHeight="1">
      <c r="A827" s="32"/>
      <c r="B827" s="32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</row>
    <row r="828" ht="27.75" customHeight="1">
      <c r="A828" s="32"/>
      <c r="B828" s="32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</row>
    <row r="829" ht="27.75" customHeight="1">
      <c r="A829" s="32"/>
      <c r="B829" s="32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</row>
    <row r="830" ht="27.75" customHeight="1">
      <c r="A830" s="32"/>
      <c r="B830" s="32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</row>
    <row r="831" ht="27.75" customHeight="1">
      <c r="A831" s="32"/>
      <c r="B831" s="32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</row>
    <row r="832" ht="27.75" customHeight="1">
      <c r="A832" s="32"/>
      <c r="B832" s="32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</row>
    <row r="833" ht="27.75" customHeight="1">
      <c r="A833" s="32"/>
      <c r="B833" s="32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</row>
    <row r="834" ht="27.75" customHeight="1">
      <c r="A834" s="32"/>
      <c r="B834" s="32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</row>
    <row r="835" ht="27.75" customHeight="1">
      <c r="A835" s="32"/>
      <c r="B835" s="32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</row>
    <row r="836" ht="27.75" customHeight="1">
      <c r="A836" s="32"/>
      <c r="B836" s="32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</row>
    <row r="837" ht="27.75" customHeight="1">
      <c r="A837" s="32"/>
      <c r="B837" s="32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</row>
    <row r="838" ht="27.75" customHeight="1">
      <c r="A838" s="32"/>
      <c r="B838" s="32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</row>
    <row r="839" ht="27.75" customHeight="1">
      <c r="A839" s="32"/>
      <c r="B839" s="32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</row>
    <row r="840" ht="27.75" customHeight="1">
      <c r="A840" s="32"/>
      <c r="B840" s="32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</row>
    <row r="841" ht="27.75" customHeight="1">
      <c r="A841" s="32"/>
      <c r="B841" s="32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</row>
    <row r="842" ht="27.75" customHeight="1">
      <c r="A842" s="32"/>
      <c r="B842" s="32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</row>
    <row r="843" ht="27.75" customHeight="1">
      <c r="A843" s="32"/>
      <c r="B843" s="32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</row>
    <row r="844" ht="27.75" customHeight="1">
      <c r="A844" s="32"/>
      <c r="B844" s="32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</row>
    <row r="845" ht="27.75" customHeight="1">
      <c r="A845" s="32"/>
      <c r="B845" s="32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</row>
    <row r="846" ht="27.75" customHeight="1">
      <c r="A846" s="32"/>
      <c r="B846" s="32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</row>
    <row r="847" ht="27.75" customHeight="1">
      <c r="A847" s="32"/>
      <c r="B847" s="32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</row>
    <row r="848" ht="27.75" customHeight="1">
      <c r="A848" s="32"/>
      <c r="B848" s="32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</row>
    <row r="849" ht="27.75" customHeight="1">
      <c r="A849" s="32"/>
      <c r="B849" s="32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</row>
    <row r="850" ht="27.75" customHeight="1">
      <c r="A850" s="32"/>
      <c r="B850" s="32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</row>
    <row r="851" ht="27.75" customHeight="1">
      <c r="A851" s="32"/>
      <c r="B851" s="32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</row>
    <row r="852" ht="27.75" customHeight="1">
      <c r="A852" s="32"/>
      <c r="B852" s="32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</row>
    <row r="853" ht="27.75" customHeight="1">
      <c r="A853" s="32"/>
      <c r="B853" s="32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</row>
    <row r="854" ht="27.75" customHeight="1">
      <c r="A854" s="32"/>
      <c r="B854" s="32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</row>
    <row r="855" ht="27.75" customHeight="1">
      <c r="A855" s="32"/>
      <c r="B855" s="32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</row>
    <row r="856" ht="27.75" customHeight="1">
      <c r="A856" s="32"/>
      <c r="B856" s="32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</row>
    <row r="857" ht="27.75" customHeight="1">
      <c r="A857" s="32"/>
      <c r="B857" s="32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</row>
    <row r="858" ht="27.75" customHeight="1">
      <c r="A858" s="32"/>
      <c r="B858" s="32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</row>
    <row r="859" ht="27.75" customHeight="1">
      <c r="A859" s="32"/>
      <c r="B859" s="32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</row>
    <row r="860" ht="27.75" customHeight="1">
      <c r="A860" s="32"/>
      <c r="B860" s="32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</row>
    <row r="861" ht="27.75" customHeight="1">
      <c r="A861" s="32"/>
      <c r="B861" s="32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</row>
    <row r="862" ht="27.75" customHeight="1">
      <c r="A862" s="32"/>
      <c r="B862" s="32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</row>
    <row r="863" ht="27.75" customHeight="1">
      <c r="A863" s="32"/>
      <c r="B863" s="32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</row>
    <row r="864" ht="27.75" customHeight="1">
      <c r="A864" s="32"/>
      <c r="B864" s="32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</row>
    <row r="865" ht="27.75" customHeight="1">
      <c r="A865" s="32"/>
      <c r="B865" s="32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</row>
    <row r="866" ht="27.75" customHeight="1">
      <c r="A866" s="32"/>
      <c r="B866" s="32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</row>
    <row r="867" ht="27.75" customHeight="1">
      <c r="A867" s="32"/>
      <c r="B867" s="32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</row>
    <row r="868" ht="27.75" customHeight="1">
      <c r="A868" s="32"/>
      <c r="B868" s="32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</row>
    <row r="869" ht="27.75" customHeight="1">
      <c r="A869" s="32"/>
      <c r="B869" s="32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</row>
    <row r="870" ht="27.75" customHeight="1">
      <c r="A870" s="32"/>
      <c r="B870" s="32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</row>
    <row r="871" ht="27.75" customHeight="1">
      <c r="A871" s="32"/>
      <c r="B871" s="32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</row>
    <row r="872" ht="27.75" customHeight="1">
      <c r="A872" s="32"/>
      <c r="B872" s="32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</row>
    <row r="873" ht="27.75" customHeight="1">
      <c r="A873" s="32"/>
      <c r="B873" s="32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</row>
    <row r="874" ht="27.75" customHeight="1">
      <c r="A874" s="32"/>
      <c r="B874" s="32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</row>
    <row r="875" ht="27.75" customHeight="1">
      <c r="A875" s="32"/>
      <c r="B875" s="32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</row>
    <row r="876" ht="27.75" customHeight="1">
      <c r="A876" s="32"/>
      <c r="B876" s="32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</row>
    <row r="877" ht="27.75" customHeight="1">
      <c r="A877" s="32"/>
      <c r="B877" s="32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</row>
    <row r="878" ht="27.75" customHeight="1">
      <c r="A878" s="32"/>
      <c r="B878" s="32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</row>
    <row r="879" ht="27.75" customHeight="1">
      <c r="A879" s="32"/>
      <c r="B879" s="32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</row>
    <row r="880" ht="27.75" customHeight="1">
      <c r="A880" s="32"/>
      <c r="B880" s="32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</row>
    <row r="881" ht="27.75" customHeight="1">
      <c r="A881" s="32"/>
      <c r="B881" s="32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</row>
    <row r="882" ht="27.75" customHeight="1">
      <c r="A882" s="32"/>
      <c r="B882" s="32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</row>
    <row r="883" ht="27.75" customHeight="1">
      <c r="A883" s="32"/>
      <c r="B883" s="32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</row>
    <row r="884" ht="27.75" customHeight="1">
      <c r="A884" s="32"/>
      <c r="B884" s="32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</row>
    <row r="885" ht="27.75" customHeight="1">
      <c r="A885" s="32"/>
      <c r="B885" s="32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</row>
    <row r="886" ht="27.75" customHeight="1">
      <c r="A886" s="32"/>
      <c r="B886" s="32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</row>
    <row r="887" ht="27.75" customHeight="1">
      <c r="A887" s="32"/>
      <c r="B887" s="32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</row>
    <row r="888" ht="27.75" customHeight="1">
      <c r="A888" s="32"/>
      <c r="B888" s="32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</row>
    <row r="889" ht="27.75" customHeight="1">
      <c r="A889" s="32"/>
      <c r="B889" s="32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</row>
    <row r="890" ht="27.75" customHeight="1">
      <c r="A890" s="32"/>
      <c r="B890" s="32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</row>
    <row r="891" ht="27.75" customHeight="1">
      <c r="A891" s="32"/>
      <c r="B891" s="32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</row>
    <row r="892" ht="27.75" customHeight="1">
      <c r="A892" s="32"/>
      <c r="B892" s="32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</row>
    <row r="893" ht="27.75" customHeight="1">
      <c r="A893" s="32"/>
      <c r="B893" s="32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</row>
    <row r="894" ht="27.75" customHeight="1">
      <c r="A894" s="32"/>
      <c r="B894" s="32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</row>
    <row r="895" ht="27.75" customHeight="1">
      <c r="A895" s="32"/>
      <c r="B895" s="32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</row>
    <row r="896" ht="27.75" customHeight="1">
      <c r="A896" s="32"/>
      <c r="B896" s="32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</row>
    <row r="897" ht="27.75" customHeight="1">
      <c r="A897" s="32"/>
      <c r="B897" s="32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</row>
    <row r="898" ht="27.75" customHeight="1">
      <c r="A898" s="32"/>
      <c r="B898" s="32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</row>
    <row r="899" ht="27.75" customHeight="1">
      <c r="A899" s="32"/>
      <c r="B899" s="32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</row>
    <row r="900" ht="27.75" customHeight="1">
      <c r="A900" s="32"/>
      <c r="B900" s="32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</row>
    <row r="901" ht="27.75" customHeight="1">
      <c r="A901" s="32"/>
      <c r="B901" s="32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</row>
    <row r="902" ht="27.75" customHeight="1">
      <c r="A902" s="32"/>
      <c r="B902" s="32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</row>
    <row r="903" ht="27.75" customHeight="1">
      <c r="A903" s="32"/>
      <c r="B903" s="32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</row>
    <row r="904" ht="27.75" customHeight="1">
      <c r="A904" s="32"/>
      <c r="B904" s="32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</row>
    <row r="905" ht="27.75" customHeight="1">
      <c r="A905" s="32"/>
      <c r="B905" s="32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</row>
    <row r="906" ht="27.75" customHeight="1">
      <c r="A906" s="32"/>
      <c r="B906" s="32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</row>
    <row r="907" ht="27.75" customHeight="1">
      <c r="A907" s="32"/>
      <c r="B907" s="32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</row>
    <row r="908" ht="27.75" customHeight="1">
      <c r="A908" s="32"/>
      <c r="B908" s="32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</row>
    <row r="909" ht="27.75" customHeight="1">
      <c r="A909" s="32"/>
      <c r="B909" s="32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</row>
    <row r="910" ht="27.75" customHeight="1">
      <c r="A910" s="32"/>
      <c r="B910" s="32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</row>
    <row r="911" ht="27.75" customHeight="1">
      <c r="A911" s="32"/>
      <c r="B911" s="32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</row>
    <row r="912" ht="27.75" customHeight="1">
      <c r="A912" s="32"/>
      <c r="B912" s="32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</row>
    <row r="913" ht="27.75" customHeight="1">
      <c r="A913" s="32"/>
      <c r="B913" s="32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</row>
    <row r="914" ht="27.75" customHeight="1">
      <c r="A914" s="32"/>
      <c r="B914" s="32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</row>
    <row r="915" ht="27.75" customHeight="1">
      <c r="A915" s="32"/>
      <c r="B915" s="32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</row>
    <row r="916" ht="27.75" customHeight="1">
      <c r="A916" s="32"/>
      <c r="B916" s="32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</row>
    <row r="917" ht="27.75" customHeight="1">
      <c r="A917" s="32"/>
      <c r="B917" s="32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</row>
    <row r="918" ht="27.75" customHeight="1">
      <c r="A918" s="32"/>
      <c r="B918" s="32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</row>
    <row r="919" ht="27.75" customHeight="1">
      <c r="A919" s="32"/>
      <c r="B919" s="32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</row>
    <row r="920" ht="27.75" customHeight="1">
      <c r="A920" s="32"/>
      <c r="B920" s="32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</row>
    <row r="921" ht="27.75" customHeight="1">
      <c r="A921" s="32"/>
      <c r="B921" s="32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</row>
    <row r="922" ht="27.75" customHeight="1">
      <c r="A922" s="32"/>
      <c r="B922" s="32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</row>
    <row r="923" ht="27.75" customHeight="1">
      <c r="A923" s="32"/>
      <c r="B923" s="32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</row>
    <row r="924" ht="27.75" customHeight="1">
      <c r="A924" s="32"/>
      <c r="B924" s="32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</row>
    <row r="925" ht="27.75" customHeight="1">
      <c r="A925" s="32"/>
      <c r="B925" s="32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</row>
    <row r="926" ht="27.75" customHeight="1">
      <c r="A926" s="32"/>
      <c r="B926" s="32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</row>
    <row r="927" ht="27.75" customHeight="1">
      <c r="A927" s="32"/>
      <c r="B927" s="32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</row>
    <row r="928" ht="27.75" customHeight="1">
      <c r="A928" s="32"/>
      <c r="B928" s="32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</row>
    <row r="929" ht="27.75" customHeight="1">
      <c r="A929" s="32"/>
      <c r="B929" s="32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</row>
    <row r="930" ht="27.75" customHeight="1">
      <c r="A930" s="32"/>
      <c r="B930" s="32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</row>
    <row r="931" ht="27.75" customHeight="1">
      <c r="A931" s="32"/>
      <c r="B931" s="32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</row>
    <row r="932" ht="27.75" customHeight="1">
      <c r="A932" s="32"/>
      <c r="B932" s="32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</row>
    <row r="933" ht="27.75" customHeight="1">
      <c r="A933" s="32"/>
      <c r="B933" s="32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</row>
    <row r="934" ht="27.75" customHeight="1">
      <c r="A934" s="32"/>
      <c r="B934" s="32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</row>
    <row r="935" ht="27.75" customHeight="1">
      <c r="A935" s="32"/>
      <c r="B935" s="32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</row>
    <row r="936" ht="27.75" customHeight="1">
      <c r="A936" s="32"/>
      <c r="B936" s="32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</row>
    <row r="937" ht="27.75" customHeight="1">
      <c r="A937" s="32"/>
      <c r="B937" s="32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</row>
    <row r="938" ht="27.75" customHeight="1">
      <c r="A938" s="32"/>
      <c r="B938" s="32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</row>
    <row r="939" ht="27.75" customHeight="1">
      <c r="A939" s="32"/>
      <c r="B939" s="32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</row>
    <row r="940" ht="27.75" customHeight="1">
      <c r="A940" s="32"/>
      <c r="B940" s="32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</row>
    <row r="941" ht="27.75" customHeight="1">
      <c r="A941" s="32"/>
      <c r="B941" s="32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</row>
    <row r="942" ht="27.75" customHeight="1">
      <c r="A942" s="32"/>
      <c r="B942" s="32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</row>
    <row r="943" ht="27.75" customHeight="1">
      <c r="A943" s="32"/>
      <c r="B943" s="32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</row>
    <row r="944" ht="27.75" customHeight="1">
      <c r="A944" s="32"/>
      <c r="B944" s="32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</row>
    <row r="945" ht="27.75" customHeight="1">
      <c r="A945" s="32"/>
      <c r="B945" s="32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</row>
    <row r="946" ht="27.75" customHeight="1">
      <c r="A946" s="32"/>
      <c r="B946" s="32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</row>
    <row r="947" ht="27.75" customHeight="1">
      <c r="A947" s="32"/>
      <c r="B947" s="32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</row>
    <row r="948" ht="27.75" customHeight="1">
      <c r="A948" s="32"/>
      <c r="B948" s="32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</row>
    <row r="949" ht="27.75" customHeight="1">
      <c r="A949" s="32"/>
      <c r="B949" s="32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</row>
    <row r="950" ht="27.75" customHeight="1">
      <c r="A950" s="32"/>
      <c r="B950" s="32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</row>
    <row r="951" ht="27.75" customHeight="1">
      <c r="A951" s="32"/>
      <c r="B951" s="32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</row>
    <row r="952" ht="27.75" customHeight="1">
      <c r="A952" s="32"/>
      <c r="B952" s="32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</row>
    <row r="953" ht="27.75" customHeight="1">
      <c r="A953" s="32"/>
      <c r="B953" s="32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</row>
    <row r="954" ht="27.75" customHeight="1">
      <c r="A954" s="32"/>
      <c r="B954" s="32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</row>
    <row r="955" ht="27.75" customHeight="1">
      <c r="A955" s="32"/>
      <c r="B955" s="32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</row>
    <row r="956" ht="27.75" customHeight="1">
      <c r="A956" s="32"/>
      <c r="B956" s="32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</row>
    <row r="957" ht="27.75" customHeight="1">
      <c r="A957" s="32"/>
      <c r="B957" s="32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</row>
    <row r="958" ht="27.75" customHeight="1">
      <c r="A958" s="32"/>
      <c r="B958" s="32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</row>
    <row r="959" ht="27.75" customHeight="1">
      <c r="A959" s="32"/>
      <c r="B959" s="32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</row>
    <row r="960" ht="27.75" customHeight="1">
      <c r="A960" s="32"/>
      <c r="B960" s="32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</row>
    <row r="961" ht="27.75" customHeight="1">
      <c r="A961" s="32"/>
      <c r="B961" s="32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</row>
    <row r="962" ht="27.75" customHeight="1">
      <c r="A962" s="32"/>
      <c r="B962" s="32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</row>
    <row r="963" ht="27.75" customHeight="1">
      <c r="A963" s="32"/>
      <c r="B963" s="32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</row>
    <row r="964" ht="27.75" customHeight="1">
      <c r="A964" s="32"/>
      <c r="B964" s="32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</row>
    <row r="965" ht="27.75" customHeight="1">
      <c r="A965" s="32"/>
      <c r="B965" s="32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</row>
    <row r="966" ht="27.75" customHeight="1">
      <c r="A966" s="32"/>
      <c r="B966" s="32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</row>
    <row r="967" ht="27.75" customHeight="1">
      <c r="A967" s="32"/>
      <c r="B967" s="32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</row>
    <row r="968" ht="27.75" customHeight="1">
      <c r="A968" s="32"/>
      <c r="B968" s="32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</row>
    <row r="969" ht="27.75" customHeight="1">
      <c r="A969" s="32"/>
      <c r="B969" s="32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</row>
    <row r="970" ht="27.75" customHeight="1">
      <c r="A970" s="32"/>
      <c r="B970" s="32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</row>
    <row r="971" ht="27.75" customHeight="1">
      <c r="A971" s="32"/>
      <c r="B971" s="32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</row>
    <row r="972" ht="27.75" customHeight="1">
      <c r="A972" s="32"/>
      <c r="B972" s="32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</row>
    <row r="973" ht="27.75" customHeight="1">
      <c r="A973" s="32"/>
      <c r="B973" s="32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</row>
    <row r="974" ht="27.75" customHeight="1">
      <c r="A974" s="32"/>
      <c r="B974" s="32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</row>
    <row r="975" ht="27.75" customHeight="1">
      <c r="A975" s="32"/>
      <c r="B975" s="32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</row>
    <row r="976" ht="27.75" customHeight="1">
      <c r="A976" s="32"/>
      <c r="B976" s="32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</row>
    <row r="977" ht="27.75" customHeight="1">
      <c r="A977" s="32"/>
      <c r="B977" s="32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</row>
    <row r="978" ht="27.75" customHeight="1">
      <c r="A978" s="32"/>
      <c r="B978" s="32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</row>
    <row r="979" ht="27.75" customHeight="1">
      <c r="A979" s="32"/>
      <c r="B979" s="32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</row>
    <row r="980" ht="27.75" customHeight="1">
      <c r="A980" s="32"/>
      <c r="B980" s="32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</row>
    <row r="981" ht="27.75" customHeight="1">
      <c r="A981" s="32"/>
      <c r="B981" s="32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</row>
    <row r="982" ht="27.75" customHeight="1">
      <c r="A982" s="32"/>
      <c r="B982" s="32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</row>
    <row r="983" ht="27.75" customHeight="1">
      <c r="A983" s="32"/>
      <c r="B983" s="32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</row>
    <row r="984" ht="27.75" customHeight="1">
      <c r="A984" s="32"/>
      <c r="B984" s="32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</row>
    <row r="985" ht="27.75" customHeight="1">
      <c r="A985" s="32"/>
      <c r="B985" s="32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</row>
    <row r="986" ht="27.75" customHeight="1">
      <c r="A986" s="32"/>
      <c r="B986" s="32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</row>
    <row r="987" ht="27.75" customHeight="1">
      <c r="A987" s="32"/>
      <c r="B987" s="32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</row>
    <row r="988" ht="27.75" customHeight="1">
      <c r="A988" s="32"/>
      <c r="B988" s="32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</row>
    <row r="989" ht="27.75" customHeight="1">
      <c r="A989" s="32"/>
      <c r="B989" s="32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</row>
    <row r="990" ht="27.75" customHeight="1">
      <c r="A990" s="32"/>
      <c r="B990" s="32"/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</row>
    <row r="991" ht="27.75" customHeight="1">
      <c r="A991" s="32"/>
      <c r="B991" s="32"/>
      <c r="C991" s="32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</row>
    <row r="992" ht="27.75" customHeight="1">
      <c r="A992" s="32"/>
      <c r="B992" s="32"/>
      <c r="C992" s="32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</row>
    <row r="993" ht="27.75" customHeight="1">
      <c r="A993" s="32"/>
      <c r="B993" s="32"/>
      <c r="C993" s="32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</row>
    <row r="994" ht="27.75" customHeight="1">
      <c r="A994" s="32"/>
      <c r="B994" s="32"/>
      <c r="C994" s="32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</row>
    <row r="995" ht="27.75" customHeight="1">
      <c r="A995" s="32"/>
      <c r="B995" s="32"/>
      <c r="C995" s="32"/>
      <c r="D995" s="32"/>
      <c r="E995" s="32"/>
      <c r="F995" s="32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</row>
    <row r="996" ht="27.75" customHeight="1">
      <c r="A996" s="32"/>
      <c r="B996" s="32"/>
      <c r="C996" s="32"/>
      <c r="D996" s="32"/>
      <c r="E996" s="32"/>
      <c r="F996" s="32"/>
      <c r="G996" s="32"/>
      <c r="H996" s="32"/>
      <c r="I996" s="32"/>
      <c r="J996" s="32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32"/>
      <c r="X996" s="32"/>
      <c r="Y996" s="32"/>
      <c r="Z996" s="32"/>
    </row>
    <row r="997" ht="27.75" customHeight="1">
      <c r="A997" s="32"/>
      <c r="B997" s="32"/>
      <c r="C997" s="32"/>
      <c r="D997" s="32"/>
      <c r="E997" s="32"/>
      <c r="F997" s="32"/>
      <c r="G997" s="32"/>
      <c r="H997" s="32"/>
      <c r="I997" s="32"/>
      <c r="J997" s="32"/>
      <c r="K997" s="32"/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  <c r="W997" s="32"/>
      <c r="X997" s="32"/>
      <c r="Y997" s="32"/>
      <c r="Z997" s="32"/>
    </row>
    <row r="998" ht="27.75" customHeight="1">
      <c r="A998" s="32"/>
      <c r="B998" s="32"/>
      <c r="C998" s="32"/>
      <c r="D998" s="32"/>
      <c r="E998" s="32"/>
      <c r="F998" s="32"/>
      <c r="G998" s="32"/>
      <c r="H998" s="32"/>
      <c r="I998" s="32"/>
      <c r="J998" s="32"/>
      <c r="K998" s="32"/>
      <c r="L998" s="32"/>
      <c r="M998" s="32"/>
      <c r="N998" s="32"/>
      <c r="O998" s="32"/>
      <c r="P998" s="32"/>
      <c r="Q998" s="32"/>
      <c r="R998" s="32"/>
      <c r="S998" s="32"/>
      <c r="T998" s="32"/>
      <c r="U998" s="32"/>
      <c r="V998" s="32"/>
      <c r="W998" s="32"/>
      <c r="X998" s="32"/>
      <c r="Y998" s="32"/>
      <c r="Z998" s="32"/>
    </row>
    <row r="999" ht="27.75" customHeight="1">
      <c r="A999" s="32"/>
      <c r="B999" s="32"/>
      <c r="C999" s="32"/>
      <c r="D999" s="32"/>
      <c r="E999" s="32"/>
      <c r="F999" s="32"/>
      <c r="G999" s="32"/>
      <c r="H999" s="32"/>
      <c r="I999" s="32"/>
      <c r="J999" s="32"/>
      <c r="K999" s="32"/>
      <c r="L999" s="32"/>
      <c r="M999" s="32"/>
      <c r="N999" s="32"/>
      <c r="O999" s="32"/>
      <c r="P999" s="32"/>
      <c r="Q999" s="32"/>
      <c r="R999" s="32"/>
      <c r="S999" s="32"/>
      <c r="T999" s="32"/>
      <c r="U999" s="32"/>
      <c r="V999" s="32"/>
      <c r="W999" s="32"/>
      <c r="X999" s="32"/>
      <c r="Y999" s="32"/>
      <c r="Z999" s="32"/>
    </row>
    <row r="1000" ht="27.75" customHeight="1">
      <c r="A1000" s="32"/>
      <c r="B1000" s="32"/>
      <c r="C1000" s="32"/>
      <c r="D1000" s="32"/>
      <c r="E1000" s="32"/>
      <c r="F1000" s="32"/>
      <c r="G1000" s="32"/>
      <c r="H1000" s="32"/>
      <c r="I1000" s="32"/>
      <c r="J1000" s="32"/>
      <c r="K1000" s="32"/>
      <c r="L1000" s="32"/>
      <c r="M1000" s="32"/>
      <c r="N1000" s="32"/>
      <c r="O1000" s="32"/>
      <c r="P1000" s="32"/>
      <c r="Q1000" s="32"/>
      <c r="R1000" s="32"/>
      <c r="S1000" s="32"/>
      <c r="T1000" s="32"/>
      <c r="U1000" s="32"/>
      <c r="V1000" s="32"/>
      <c r="W1000" s="32"/>
      <c r="X1000" s="32"/>
      <c r="Y1000" s="32"/>
      <c r="Z1000" s="32"/>
    </row>
  </sheetData>
  <autoFilter ref="$A$1:$H$540">
    <filterColumn colId="2">
      <filters>
        <filter val="COMERCIAL - Varejista - Grande"/>
        <filter val="COMERCIAL - Atacadista - Grande"/>
      </filters>
    </filterColumn>
    <filterColumn colId="3">
      <filters>
        <filter val="permitido"/>
      </filters>
    </filterColumn>
  </autoFilter>
  <dataValidations>
    <dataValidation type="list" allowBlank="1" showErrorMessage="1" sqref="C2:C540">
      <formula1>USOS!$H$2:$H$74</formula1>
    </dataValidation>
    <dataValidation type="list" allowBlank="1" showErrorMessage="1" sqref="A2:A540">
      <formula1>MACROZONAS!$B$2:$B$8</formula1>
    </dataValidation>
    <dataValidation type="list" allowBlank="1" showErrorMessage="1" sqref="D2:D540">
      <formula1>$O$1:$O$3</formula1>
    </dataValidation>
  </dataValidations>
  <printOptions/>
  <pageMargins bottom="0.787401575" footer="0.0" header="0.0" left="0.511811024" right="0.511811024" top="0.7874015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5.0"/>
    <col customWidth="1" min="2" max="2" width="100.88"/>
    <col customWidth="1" min="3" max="3" width="23.25"/>
    <col customWidth="1" min="4" max="6" width="8.88"/>
    <col customWidth="1" min="7" max="26" width="8.63"/>
  </cols>
  <sheetData>
    <row r="1" ht="31.5" customHeight="1">
      <c r="A1" s="8" t="s">
        <v>203</v>
      </c>
      <c r="B1" s="9" t="s">
        <v>364</v>
      </c>
      <c r="C1" s="8" t="s">
        <v>365</v>
      </c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8">
        <v>1.0</v>
      </c>
      <c r="B2" s="9" t="s">
        <v>366</v>
      </c>
      <c r="C2" s="8" t="s">
        <v>130</v>
      </c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31.5" customHeight="1">
      <c r="A3" s="8">
        <v>2.0</v>
      </c>
      <c r="B3" s="9" t="s">
        <v>367</v>
      </c>
      <c r="C3" s="8" t="s">
        <v>130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31.5" customHeight="1">
      <c r="A4" s="8">
        <v>3.0</v>
      </c>
      <c r="B4" s="9" t="s">
        <v>368</v>
      </c>
      <c r="C4" s="8" t="s">
        <v>130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31.5" customHeight="1">
      <c r="A5" s="8">
        <v>4.0</v>
      </c>
      <c r="B5" s="9" t="s">
        <v>369</v>
      </c>
      <c r="C5" s="8" t="s">
        <v>130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31.5" customHeight="1">
      <c r="A6" s="8">
        <v>5.0</v>
      </c>
      <c r="B6" s="9" t="s">
        <v>370</v>
      </c>
      <c r="C6" s="8" t="s">
        <v>130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31.5" customHeight="1">
      <c r="A7" s="8">
        <v>6.0</v>
      </c>
      <c r="B7" s="9" t="s">
        <v>371</v>
      </c>
      <c r="C7" s="8" t="s">
        <v>130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31.5" customHeight="1">
      <c r="A8" s="8">
        <v>7.0</v>
      </c>
      <c r="B8" s="9" t="s">
        <v>372</v>
      </c>
      <c r="C8" s="8" t="s">
        <v>130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31.5" customHeight="1">
      <c r="A9" s="8">
        <v>8.0</v>
      </c>
      <c r="B9" s="9" t="s">
        <v>373</v>
      </c>
      <c r="C9" s="8" t="s">
        <v>130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31.5" customHeight="1">
      <c r="A10" s="8">
        <v>9.0</v>
      </c>
      <c r="B10" s="9" t="s">
        <v>374</v>
      </c>
      <c r="C10" s="8" t="s">
        <v>130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31.5" customHeight="1">
      <c r="A11" s="8">
        <v>10.0</v>
      </c>
      <c r="B11" s="9" t="s">
        <v>375</v>
      </c>
      <c r="C11" s="8" t="s">
        <v>130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31.5" customHeight="1">
      <c r="A12" s="8">
        <v>11.0</v>
      </c>
      <c r="B12" s="9" t="s">
        <v>376</v>
      </c>
      <c r="C12" s="8" t="s">
        <v>130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31.5" customHeight="1">
      <c r="A13" s="8">
        <v>12.0</v>
      </c>
      <c r="B13" s="9" t="s">
        <v>377</v>
      </c>
      <c r="C13" s="8" t="s">
        <v>130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31.5" customHeight="1">
      <c r="A14" s="8">
        <v>13.0</v>
      </c>
      <c r="B14" s="9" t="s">
        <v>378</v>
      </c>
      <c r="C14" s="8" t="s">
        <v>130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31.5" customHeight="1">
      <c r="A15" s="8">
        <v>14.0</v>
      </c>
      <c r="B15" s="9" t="s">
        <v>379</v>
      </c>
      <c r="C15" s="8" t="s">
        <v>130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31.5" customHeight="1">
      <c r="A16" s="8">
        <v>15.0</v>
      </c>
      <c r="B16" s="9" t="s">
        <v>380</v>
      </c>
      <c r="C16" s="8" t="s">
        <v>130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31.5" customHeight="1">
      <c r="A17" s="8">
        <v>16.0</v>
      </c>
      <c r="B17" s="9" t="s">
        <v>381</v>
      </c>
      <c r="C17" s="8" t="s">
        <v>130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31.5" customHeight="1">
      <c r="A18" s="8">
        <v>17.0</v>
      </c>
      <c r="B18" s="9" t="s">
        <v>382</v>
      </c>
      <c r="C18" s="8" t="s">
        <v>130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31.5" customHeight="1">
      <c r="A19" s="8">
        <v>18.0</v>
      </c>
      <c r="B19" s="9" t="s">
        <v>383</v>
      </c>
      <c r="C19" s="8" t="s">
        <v>130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31.5" customHeight="1">
      <c r="A20" s="8">
        <v>19.0</v>
      </c>
      <c r="B20" s="9" t="s">
        <v>384</v>
      </c>
      <c r="C20" s="8" t="s">
        <v>130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31.5" customHeight="1">
      <c r="A21" s="8">
        <v>20.0</v>
      </c>
      <c r="B21" s="9" t="s">
        <v>385</v>
      </c>
      <c r="C21" s="8" t="s">
        <v>130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31.5" customHeight="1">
      <c r="A22" s="8">
        <v>22.0</v>
      </c>
      <c r="B22" s="9" t="s">
        <v>386</v>
      </c>
      <c r="C22" s="8" t="s">
        <v>130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31.5" customHeight="1">
      <c r="A23" s="8">
        <v>23.0</v>
      </c>
      <c r="B23" s="9" t="s">
        <v>387</v>
      </c>
      <c r="C23" s="8" t="s">
        <v>130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31.5" customHeight="1">
      <c r="A24" s="8">
        <v>24.0</v>
      </c>
      <c r="B24" s="9" t="s">
        <v>388</v>
      </c>
      <c r="C24" s="8" t="s">
        <v>130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31.5" customHeight="1">
      <c r="A25" s="8">
        <v>1.0</v>
      </c>
      <c r="B25" s="9" t="s">
        <v>389</v>
      </c>
      <c r="C25" s="8" t="s">
        <v>208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31.5" customHeight="1">
      <c r="A26" s="8">
        <v>2.0</v>
      </c>
      <c r="B26" s="9" t="s">
        <v>390</v>
      </c>
      <c r="C26" s="8" t="s">
        <v>208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31.5" customHeight="1">
      <c r="A27" s="8">
        <v>3.0</v>
      </c>
      <c r="B27" s="9" t="s">
        <v>391</v>
      </c>
      <c r="C27" s="8" t="s">
        <v>208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31.5" customHeight="1">
      <c r="A28" s="8">
        <v>4.0</v>
      </c>
      <c r="B28" s="9" t="s">
        <v>392</v>
      </c>
      <c r="C28" s="8" t="s">
        <v>208</v>
      </c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31.5" customHeight="1">
      <c r="A29" s="8">
        <v>5.0</v>
      </c>
      <c r="B29" s="9" t="s">
        <v>393</v>
      </c>
      <c r="C29" s="8" t="s">
        <v>208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31.5" customHeight="1">
      <c r="A30" s="8">
        <v>6.0</v>
      </c>
      <c r="B30" s="9" t="s">
        <v>394</v>
      </c>
      <c r="C30" s="8" t="s">
        <v>208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31.5" customHeight="1">
      <c r="A31" s="8">
        <v>7.0</v>
      </c>
      <c r="B31" s="9" t="s">
        <v>395</v>
      </c>
      <c r="C31" s="8" t="s">
        <v>208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31.5" customHeight="1">
      <c r="A32" s="8">
        <v>8.0</v>
      </c>
      <c r="B32" s="9" t="s">
        <v>396</v>
      </c>
      <c r="C32" s="8" t="s">
        <v>208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31.5" customHeight="1">
      <c r="A33" s="8">
        <v>1.0</v>
      </c>
      <c r="B33" s="9" t="s">
        <v>397</v>
      </c>
      <c r="C33" s="8" t="s">
        <v>235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31.5" customHeight="1">
      <c r="A34" s="8"/>
      <c r="B34" s="9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31.5" customHeight="1">
      <c r="A35" s="8"/>
      <c r="B35" s="9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31.5" customHeight="1">
      <c r="A36" s="8"/>
      <c r="B36" s="9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31.5" customHeight="1">
      <c r="A37" s="8"/>
      <c r="B37" s="9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31.5" customHeight="1">
      <c r="A38" s="8"/>
      <c r="B38" s="9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31.5" customHeight="1">
      <c r="A39" s="8"/>
      <c r="B39" s="9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31.5" customHeight="1">
      <c r="A40" s="8"/>
      <c r="B40" s="9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31.5" customHeight="1">
      <c r="A41" s="8"/>
      <c r="B41" s="9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31.5" customHeight="1">
      <c r="A42" s="8"/>
      <c r="B42" s="9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31.5" customHeight="1">
      <c r="A43" s="8"/>
      <c r="B43" s="9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31.5" customHeight="1">
      <c r="A44" s="8"/>
      <c r="B44" s="9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31.5" customHeight="1">
      <c r="A45" s="8"/>
      <c r="B45" s="9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31.5" customHeight="1">
      <c r="A46" s="8"/>
      <c r="B46" s="9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31.5" customHeight="1">
      <c r="A47" s="8"/>
      <c r="B47" s="9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31.5" customHeight="1">
      <c r="A48" s="8"/>
      <c r="B48" s="9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31.5" customHeight="1">
      <c r="A49" s="8"/>
      <c r="B49" s="9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31.5" customHeight="1">
      <c r="A50" s="8"/>
      <c r="B50" s="9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31.5" customHeight="1">
      <c r="A51" s="8"/>
      <c r="B51" s="9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31.5" customHeight="1">
      <c r="A52" s="8"/>
      <c r="B52" s="9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31.5" customHeight="1">
      <c r="A53" s="8"/>
      <c r="B53" s="9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31.5" customHeight="1">
      <c r="A54" s="8"/>
      <c r="B54" s="9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31.5" customHeight="1">
      <c r="A55" s="8"/>
      <c r="B55" s="9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31.5" customHeight="1">
      <c r="A56" s="8"/>
      <c r="B56" s="9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31.5" customHeight="1">
      <c r="A57" s="8"/>
      <c r="B57" s="9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31.5" customHeight="1">
      <c r="A58" s="8"/>
      <c r="B58" s="9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31.5" customHeight="1">
      <c r="A59" s="8"/>
      <c r="B59" s="9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31.5" customHeight="1">
      <c r="A60" s="8"/>
      <c r="B60" s="9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31.5" customHeight="1">
      <c r="A61" s="8"/>
      <c r="B61" s="9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31.5" customHeight="1">
      <c r="A62" s="8"/>
      <c r="B62" s="9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31.5" customHeight="1">
      <c r="A63" s="8"/>
      <c r="B63" s="9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31.5" customHeight="1">
      <c r="A64" s="8"/>
      <c r="B64" s="9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31.5" customHeight="1">
      <c r="A65" s="8"/>
      <c r="B65" s="9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31.5" customHeight="1">
      <c r="A66" s="8"/>
      <c r="B66" s="9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31.5" customHeight="1">
      <c r="A67" s="8"/>
      <c r="B67" s="9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31.5" customHeight="1">
      <c r="A68" s="8"/>
      <c r="B68" s="9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31.5" customHeight="1">
      <c r="A69" s="8"/>
      <c r="B69" s="9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31.5" customHeight="1">
      <c r="A70" s="8"/>
      <c r="B70" s="9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31.5" customHeight="1">
      <c r="A71" s="8"/>
      <c r="B71" s="9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31.5" customHeight="1">
      <c r="A72" s="8"/>
      <c r="B72" s="9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31.5" customHeight="1">
      <c r="A73" s="8"/>
      <c r="B73" s="9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31.5" customHeight="1">
      <c r="A74" s="8"/>
      <c r="B74" s="9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31.5" customHeight="1">
      <c r="A75" s="8"/>
      <c r="B75" s="9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31.5" customHeight="1">
      <c r="A76" s="8"/>
      <c r="B76" s="9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31.5" customHeight="1">
      <c r="A77" s="8"/>
      <c r="B77" s="9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31.5" customHeight="1">
      <c r="A78" s="8"/>
      <c r="B78" s="9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31.5" customHeight="1">
      <c r="A79" s="8"/>
      <c r="B79" s="9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31.5" customHeight="1">
      <c r="A80" s="8"/>
      <c r="B80" s="9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31.5" customHeight="1">
      <c r="A81" s="8"/>
      <c r="B81" s="9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31.5" customHeight="1">
      <c r="A82" s="8"/>
      <c r="B82" s="9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31.5" customHeight="1">
      <c r="A83" s="8"/>
      <c r="B83" s="9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31.5" customHeight="1">
      <c r="A84" s="8"/>
      <c r="B84" s="9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31.5" customHeight="1">
      <c r="A85" s="8"/>
      <c r="B85" s="9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31.5" customHeight="1">
      <c r="A86" s="8"/>
      <c r="B86" s="9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31.5" customHeight="1">
      <c r="A87" s="8"/>
      <c r="B87" s="9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31.5" customHeight="1">
      <c r="A88" s="8"/>
      <c r="B88" s="9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31.5" customHeight="1">
      <c r="A89" s="8"/>
      <c r="B89" s="9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31.5" customHeight="1">
      <c r="A90" s="8"/>
      <c r="B90" s="9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31.5" customHeight="1">
      <c r="A91" s="8"/>
      <c r="B91" s="9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31.5" customHeight="1">
      <c r="A92" s="8"/>
      <c r="B92" s="9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31.5" customHeight="1">
      <c r="A93" s="8"/>
      <c r="B93" s="9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31.5" customHeight="1">
      <c r="A94" s="8"/>
      <c r="B94" s="9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31.5" customHeight="1">
      <c r="A95" s="8"/>
      <c r="B95" s="9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31.5" customHeight="1">
      <c r="A96" s="8"/>
      <c r="B96" s="9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31.5" customHeight="1">
      <c r="A97" s="8"/>
      <c r="B97" s="9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31.5" customHeight="1">
      <c r="A98" s="8"/>
      <c r="B98" s="9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31.5" customHeight="1">
      <c r="A99" s="8"/>
      <c r="B99" s="9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31.5" customHeight="1">
      <c r="A100" s="8"/>
      <c r="B100" s="9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31.5" customHeight="1">
      <c r="A101" s="8"/>
      <c r="B101" s="9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31.5" customHeight="1">
      <c r="A102" s="8"/>
      <c r="B102" s="9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31.5" customHeight="1">
      <c r="A103" s="8"/>
      <c r="B103" s="9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31.5" customHeight="1">
      <c r="A104" s="8"/>
      <c r="B104" s="9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31.5" customHeight="1">
      <c r="A105" s="8"/>
      <c r="B105" s="9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31.5" customHeight="1">
      <c r="A106" s="8"/>
      <c r="B106" s="9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31.5" customHeight="1">
      <c r="A107" s="8"/>
      <c r="B107" s="9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31.5" customHeight="1">
      <c r="A108" s="8"/>
      <c r="B108" s="9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31.5" customHeight="1">
      <c r="A109" s="8"/>
      <c r="B109" s="9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31.5" customHeight="1">
      <c r="A110" s="8"/>
      <c r="B110" s="9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31.5" customHeight="1">
      <c r="A111" s="8"/>
      <c r="B111" s="9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31.5" customHeight="1">
      <c r="A112" s="8"/>
      <c r="B112" s="9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31.5" customHeight="1">
      <c r="A113" s="8"/>
      <c r="B113" s="9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31.5" customHeight="1">
      <c r="A114" s="8"/>
      <c r="B114" s="9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31.5" customHeight="1">
      <c r="A115" s="8"/>
      <c r="B115" s="9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31.5" customHeight="1">
      <c r="A116" s="8"/>
      <c r="B116" s="9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31.5" customHeight="1">
      <c r="A117" s="8"/>
      <c r="B117" s="9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31.5" customHeight="1">
      <c r="A118" s="8"/>
      <c r="B118" s="9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31.5" customHeight="1">
      <c r="A119" s="8"/>
      <c r="B119" s="9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31.5" customHeight="1">
      <c r="A120" s="8"/>
      <c r="B120" s="9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31.5" customHeight="1">
      <c r="A121" s="8"/>
      <c r="B121" s="9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31.5" customHeight="1">
      <c r="A122" s="8"/>
      <c r="B122" s="9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31.5" customHeight="1">
      <c r="A123" s="8"/>
      <c r="B123" s="9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31.5" customHeight="1">
      <c r="A124" s="8"/>
      <c r="B124" s="9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31.5" customHeight="1">
      <c r="A125" s="8"/>
      <c r="B125" s="9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31.5" customHeight="1">
      <c r="A126" s="8"/>
      <c r="B126" s="9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31.5" customHeight="1">
      <c r="A127" s="8"/>
      <c r="B127" s="9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31.5" customHeight="1">
      <c r="A128" s="8"/>
      <c r="B128" s="9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31.5" customHeight="1">
      <c r="A129" s="8"/>
      <c r="B129" s="9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31.5" customHeight="1">
      <c r="A130" s="8"/>
      <c r="B130" s="9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31.5" customHeight="1">
      <c r="A131" s="8"/>
      <c r="B131" s="9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31.5" customHeight="1">
      <c r="A132" s="8"/>
      <c r="B132" s="9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31.5" customHeight="1">
      <c r="A133" s="8"/>
      <c r="B133" s="9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31.5" customHeight="1">
      <c r="A134" s="8"/>
      <c r="B134" s="9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31.5" customHeight="1">
      <c r="A135" s="8"/>
      <c r="B135" s="9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31.5" customHeight="1">
      <c r="A136" s="8"/>
      <c r="B136" s="9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31.5" customHeight="1">
      <c r="A137" s="8"/>
      <c r="B137" s="9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31.5" customHeight="1">
      <c r="A138" s="8"/>
      <c r="B138" s="9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31.5" customHeight="1">
      <c r="A139" s="8"/>
      <c r="B139" s="9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31.5" customHeight="1">
      <c r="A140" s="8"/>
      <c r="B140" s="9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31.5" customHeight="1">
      <c r="A141" s="8"/>
      <c r="B141" s="9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31.5" customHeight="1">
      <c r="A142" s="8"/>
      <c r="B142" s="9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31.5" customHeight="1">
      <c r="A143" s="8"/>
      <c r="B143" s="9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31.5" customHeight="1">
      <c r="A144" s="8"/>
      <c r="B144" s="9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31.5" customHeight="1">
      <c r="A145" s="8"/>
      <c r="B145" s="9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31.5" customHeight="1">
      <c r="A146" s="8"/>
      <c r="B146" s="9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31.5" customHeight="1">
      <c r="A147" s="8"/>
      <c r="B147" s="9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31.5" customHeight="1">
      <c r="A148" s="8"/>
      <c r="B148" s="9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31.5" customHeight="1">
      <c r="A149" s="8"/>
      <c r="B149" s="9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31.5" customHeight="1">
      <c r="A150" s="8"/>
      <c r="B150" s="9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31.5" customHeight="1">
      <c r="A151" s="8"/>
      <c r="B151" s="9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31.5" customHeight="1">
      <c r="A152" s="8"/>
      <c r="B152" s="9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31.5" customHeight="1">
      <c r="A153" s="8"/>
      <c r="B153" s="9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31.5" customHeight="1">
      <c r="A154" s="8"/>
      <c r="B154" s="9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31.5" customHeight="1">
      <c r="A155" s="8"/>
      <c r="B155" s="9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31.5" customHeight="1">
      <c r="A156" s="8"/>
      <c r="B156" s="9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31.5" customHeight="1">
      <c r="A157" s="8"/>
      <c r="B157" s="9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31.5" customHeight="1">
      <c r="A158" s="8"/>
      <c r="B158" s="9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31.5" customHeight="1">
      <c r="A159" s="8"/>
      <c r="B159" s="9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31.5" customHeight="1">
      <c r="A160" s="8"/>
      <c r="B160" s="9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31.5" customHeight="1">
      <c r="A161" s="8"/>
      <c r="B161" s="9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31.5" customHeight="1">
      <c r="A162" s="8"/>
      <c r="B162" s="9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31.5" customHeight="1">
      <c r="A163" s="8"/>
      <c r="B163" s="9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31.5" customHeight="1">
      <c r="A164" s="8"/>
      <c r="B164" s="9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31.5" customHeight="1">
      <c r="A165" s="8"/>
      <c r="B165" s="9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31.5" customHeight="1">
      <c r="A166" s="8"/>
      <c r="B166" s="9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31.5" customHeight="1">
      <c r="A167" s="8"/>
      <c r="B167" s="9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31.5" customHeight="1">
      <c r="A168" s="8"/>
      <c r="B168" s="9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31.5" customHeight="1">
      <c r="A169" s="8"/>
      <c r="B169" s="9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31.5" customHeight="1">
      <c r="A170" s="8"/>
      <c r="B170" s="9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31.5" customHeight="1">
      <c r="A171" s="8"/>
      <c r="B171" s="9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31.5" customHeight="1">
      <c r="A172" s="8"/>
      <c r="B172" s="9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31.5" customHeight="1">
      <c r="A173" s="8"/>
      <c r="B173" s="9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31.5" customHeight="1">
      <c r="A174" s="8"/>
      <c r="B174" s="9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31.5" customHeight="1">
      <c r="A175" s="8"/>
      <c r="B175" s="9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31.5" customHeight="1">
      <c r="A176" s="8"/>
      <c r="B176" s="9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31.5" customHeight="1">
      <c r="A177" s="8"/>
      <c r="B177" s="9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31.5" customHeight="1">
      <c r="A178" s="8"/>
      <c r="B178" s="9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31.5" customHeight="1">
      <c r="A179" s="8"/>
      <c r="B179" s="9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31.5" customHeight="1">
      <c r="A180" s="8"/>
      <c r="B180" s="9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31.5" customHeight="1">
      <c r="A181" s="8"/>
      <c r="B181" s="9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31.5" customHeight="1">
      <c r="A182" s="8"/>
      <c r="B182" s="9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31.5" customHeight="1">
      <c r="A183" s="8"/>
      <c r="B183" s="9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31.5" customHeight="1">
      <c r="A184" s="8"/>
      <c r="B184" s="9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31.5" customHeight="1">
      <c r="A185" s="8"/>
      <c r="B185" s="9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31.5" customHeight="1">
      <c r="A186" s="8"/>
      <c r="B186" s="9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31.5" customHeight="1">
      <c r="A187" s="8"/>
      <c r="B187" s="9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31.5" customHeight="1">
      <c r="A188" s="8"/>
      <c r="B188" s="9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31.5" customHeight="1">
      <c r="A189" s="8"/>
      <c r="B189" s="9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31.5" customHeight="1">
      <c r="A190" s="8"/>
      <c r="B190" s="9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31.5" customHeight="1">
      <c r="A191" s="8"/>
      <c r="B191" s="9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31.5" customHeight="1">
      <c r="A192" s="8"/>
      <c r="B192" s="9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31.5" customHeight="1">
      <c r="A193" s="8"/>
      <c r="B193" s="9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31.5" customHeight="1">
      <c r="A194" s="8"/>
      <c r="B194" s="9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31.5" customHeight="1">
      <c r="A195" s="8"/>
      <c r="B195" s="9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31.5" customHeight="1">
      <c r="A196" s="8"/>
      <c r="B196" s="9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31.5" customHeight="1">
      <c r="A197" s="8"/>
      <c r="B197" s="9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31.5" customHeight="1">
      <c r="A198" s="8"/>
      <c r="B198" s="9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31.5" customHeight="1">
      <c r="A199" s="8"/>
      <c r="B199" s="9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31.5" customHeight="1">
      <c r="A200" s="8"/>
      <c r="B200" s="9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31.5" customHeight="1">
      <c r="A201" s="8"/>
      <c r="B201" s="9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31.5" customHeight="1">
      <c r="A202" s="8"/>
      <c r="B202" s="9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31.5" customHeight="1">
      <c r="A203" s="8"/>
      <c r="B203" s="9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31.5" customHeight="1">
      <c r="A204" s="8"/>
      <c r="B204" s="9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31.5" customHeight="1">
      <c r="A205" s="8"/>
      <c r="B205" s="9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31.5" customHeight="1">
      <c r="A206" s="8"/>
      <c r="B206" s="9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31.5" customHeight="1">
      <c r="A207" s="8"/>
      <c r="B207" s="9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31.5" customHeight="1">
      <c r="A208" s="8"/>
      <c r="B208" s="9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31.5" customHeight="1">
      <c r="A209" s="8"/>
      <c r="B209" s="9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31.5" customHeight="1">
      <c r="A210" s="8"/>
      <c r="B210" s="9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31.5" customHeight="1">
      <c r="A211" s="8"/>
      <c r="B211" s="9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31.5" customHeight="1">
      <c r="A212" s="8"/>
      <c r="B212" s="9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31.5" customHeight="1">
      <c r="A213" s="8"/>
      <c r="B213" s="9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31.5" customHeight="1">
      <c r="A214" s="8"/>
      <c r="B214" s="9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31.5" customHeight="1">
      <c r="A215" s="8"/>
      <c r="B215" s="9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31.5" customHeight="1">
      <c r="A216" s="8"/>
      <c r="B216" s="9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31.5" customHeight="1">
      <c r="A217" s="8"/>
      <c r="B217" s="9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31.5" customHeight="1">
      <c r="A218" s="8"/>
      <c r="B218" s="9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31.5" customHeight="1">
      <c r="A219" s="8"/>
      <c r="B219" s="9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31.5" customHeight="1">
      <c r="A220" s="8"/>
      <c r="B220" s="9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31.5" customHeight="1">
      <c r="A221" s="8"/>
      <c r="B221" s="9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31.5" customHeight="1">
      <c r="A222" s="8"/>
      <c r="B222" s="9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31.5" customHeight="1">
      <c r="A223" s="8"/>
      <c r="B223" s="9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31.5" customHeight="1">
      <c r="A224" s="8"/>
      <c r="B224" s="9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31.5" customHeight="1">
      <c r="A225" s="8"/>
      <c r="B225" s="9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31.5" customHeight="1">
      <c r="A226" s="8"/>
      <c r="B226" s="9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31.5" customHeight="1">
      <c r="A227" s="8"/>
      <c r="B227" s="9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31.5" customHeight="1">
      <c r="A228" s="8"/>
      <c r="B228" s="9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31.5" customHeight="1">
      <c r="A229" s="8"/>
      <c r="B229" s="9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31.5" customHeight="1">
      <c r="A230" s="8"/>
      <c r="B230" s="9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31.5" customHeight="1">
      <c r="A231" s="8"/>
      <c r="B231" s="9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31.5" customHeight="1">
      <c r="A232" s="8"/>
      <c r="B232" s="9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31.5" customHeight="1">
      <c r="A233" s="8"/>
      <c r="B233" s="9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31.5" customHeight="1">
      <c r="A234" s="8"/>
      <c r="B234" s="9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31.5" customHeight="1">
      <c r="A235" s="8"/>
      <c r="B235" s="9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31.5" customHeight="1">
      <c r="A236" s="8"/>
      <c r="B236" s="9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31.5" customHeight="1">
      <c r="A237" s="8"/>
      <c r="B237" s="9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31.5" customHeight="1">
      <c r="A238" s="8"/>
      <c r="B238" s="9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31.5" customHeight="1">
      <c r="A239" s="8"/>
      <c r="B239" s="9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31.5" customHeight="1">
      <c r="A240" s="8"/>
      <c r="B240" s="9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31.5" customHeight="1">
      <c r="A241" s="8"/>
      <c r="B241" s="9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31.5" customHeight="1">
      <c r="A242" s="8"/>
      <c r="B242" s="9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31.5" customHeight="1">
      <c r="A243" s="8"/>
      <c r="B243" s="9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31.5" customHeight="1">
      <c r="A244" s="8"/>
      <c r="B244" s="9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31.5" customHeight="1">
      <c r="A245" s="8"/>
      <c r="B245" s="9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31.5" customHeight="1">
      <c r="A246" s="8"/>
      <c r="B246" s="9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31.5" customHeight="1">
      <c r="A247" s="8"/>
      <c r="B247" s="9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31.5" customHeight="1">
      <c r="A248" s="8"/>
      <c r="B248" s="9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31.5" customHeight="1">
      <c r="A249" s="8"/>
      <c r="B249" s="9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31.5" customHeight="1">
      <c r="A250" s="8"/>
      <c r="B250" s="9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31.5" customHeight="1">
      <c r="A251" s="8"/>
      <c r="B251" s="9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31.5" customHeight="1">
      <c r="A252" s="8"/>
      <c r="B252" s="9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31.5" customHeight="1">
      <c r="A253" s="8"/>
      <c r="B253" s="9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31.5" customHeight="1">
      <c r="A254" s="8"/>
      <c r="B254" s="9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31.5" customHeight="1">
      <c r="A255" s="8"/>
      <c r="B255" s="9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31.5" customHeight="1">
      <c r="A256" s="8"/>
      <c r="B256" s="9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31.5" customHeight="1">
      <c r="A257" s="8"/>
      <c r="B257" s="9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31.5" customHeight="1">
      <c r="A258" s="8"/>
      <c r="B258" s="9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31.5" customHeight="1">
      <c r="A259" s="8"/>
      <c r="B259" s="9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31.5" customHeight="1">
      <c r="A260" s="8"/>
      <c r="B260" s="9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31.5" customHeight="1">
      <c r="A261" s="8"/>
      <c r="B261" s="9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31.5" customHeight="1">
      <c r="A262" s="8"/>
      <c r="B262" s="9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31.5" customHeight="1">
      <c r="A263" s="8"/>
      <c r="B263" s="9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31.5" customHeight="1">
      <c r="A264" s="8"/>
      <c r="B264" s="9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31.5" customHeight="1">
      <c r="A265" s="8"/>
      <c r="B265" s="9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31.5" customHeight="1">
      <c r="A266" s="8"/>
      <c r="B266" s="9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31.5" customHeight="1">
      <c r="A267" s="8"/>
      <c r="B267" s="9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31.5" customHeight="1">
      <c r="A268" s="8"/>
      <c r="B268" s="9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31.5" customHeight="1">
      <c r="A269" s="8"/>
      <c r="B269" s="9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31.5" customHeight="1">
      <c r="A270" s="8"/>
      <c r="B270" s="9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31.5" customHeight="1">
      <c r="A271" s="8"/>
      <c r="B271" s="9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31.5" customHeight="1">
      <c r="A272" s="8"/>
      <c r="B272" s="9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31.5" customHeight="1">
      <c r="A273" s="8"/>
      <c r="B273" s="9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31.5" customHeight="1">
      <c r="A274" s="8"/>
      <c r="B274" s="9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31.5" customHeight="1">
      <c r="A275" s="8"/>
      <c r="B275" s="9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31.5" customHeight="1">
      <c r="A276" s="8"/>
      <c r="B276" s="9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31.5" customHeight="1">
      <c r="A277" s="8"/>
      <c r="B277" s="9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31.5" customHeight="1">
      <c r="A278" s="8"/>
      <c r="B278" s="9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31.5" customHeight="1">
      <c r="A279" s="8"/>
      <c r="B279" s="9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31.5" customHeight="1">
      <c r="A280" s="8"/>
      <c r="B280" s="9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31.5" customHeight="1">
      <c r="A281" s="8"/>
      <c r="B281" s="9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31.5" customHeight="1">
      <c r="A282" s="8"/>
      <c r="B282" s="9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31.5" customHeight="1">
      <c r="A283" s="8"/>
      <c r="B283" s="9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31.5" customHeight="1">
      <c r="A284" s="8"/>
      <c r="B284" s="9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31.5" customHeight="1">
      <c r="A285" s="8"/>
      <c r="B285" s="9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31.5" customHeight="1">
      <c r="A286" s="8"/>
      <c r="B286" s="9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31.5" customHeight="1">
      <c r="A287" s="8"/>
      <c r="B287" s="9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31.5" customHeight="1">
      <c r="A288" s="8"/>
      <c r="B288" s="9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31.5" customHeight="1">
      <c r="A289" s="8"/>
      <c r="B289" s="9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31.5" customHeight="1">
      <c r="A290" s="8"/>
      <c r="B290" s="9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31.5" customHeight="1">
      <c r="A291" s="8"/>
      <c r="B291" s="9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31.5" customHeight="1">
      <c r="A292" s="8"/>
      <c r="B292" s="9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31.5" customHeight="1">
      <c r="A293" s="8"/>
      <c r="B293" s="9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31.5" customHeight="1">
      <c r="A294" s="8"/>
      <c r="B294" s="9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31.5" customHeight="1">
      <c r="A295" s="8"/>
      <c r="B295" s="9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31.5" customHeight="1">
      <c r="A296" s="8"/>
      <c r="B296" s="9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31.5" customHeight="1">
      <c r="A297" s="8"/>
      <c r="B297" s="9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31.5" customHeight="1">
      <c r="A298" s="8"/>
      <c r="B298" s="9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31.5" customHeight="1">
      <c r="A299" s="8"/>
      <c r="B299" s="9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31.5" customHeight="1">
      <c r="A300" s="8"/>
      <c r="B300" s="9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31.5" customHeight="1">
      <c r="A301" s="8"/>
      <c r="B301" s="9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31.5" customHeight="1">
      <c r="A302" s="8"/>
      <c r="B302" s="9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31.5" customHeight="1">
      <c r="A303" s="8"/>
      <c r="B303" s="9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31.5" customHeight="1">
      <c r="A304" s="8"/>
      <c r="B304" s="9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31.5" customHeight="1">
      <c r="A305" s="8"/>
      <c r="B305" s="9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31.5" customHeight="1">
      <c r="A306" s="8"/>
      <c r="B306" s="9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31.5" customHeight="1">
      <c r="A307" s="8"/>
      <c r="B307" s="9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31.5" customHeight="1">
      <c r="A308" s="8"/>
      <c r="B308" s="9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31.5" customHeight="1">
      <c r="A309" s="8"/>
      <c r="B309" s="9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31.5" customHeight="1">
      <c r="A310" s="8"/>
      <c r="B310" s="9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31.5" customHeight="1">
      <c r="A311" s="8"/>
      <c r="B311" s="9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31.5" customHeight="1">
      <c r="A312" s="8"/>
      <c r="B312" s="9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31.5" customHeight="1">
      <c r="A313" s="8"/>
      <c r="B313" s="9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31.5" customHeight="1">
      <c r="A314" s="8"/>
      <c r="B314" s="9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31.5" customHeight="1">
      <c r="A315" s="8"/>
      <c r="B315" s="9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31.5" customHeight="1">
      <c r="A316" s="8"/>
      <c r="B316" s="9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31.5" customHeight="1">
      <c r="A317" s="8"/>
      <c r="B317" s="9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31.5" customHeight="1">
      <c r="A318" s="8"/>
      <c r="B318" s="9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31.5" customHeight="1">
      <c r="A319" s="8"/>
      <c r="B319" s="9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31.5" customHeight="1">
      <c r="A320" s="8"/>
      <c r="B320" s="9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31.5" customHeight="1">
      <c r="A321" s="8"/>
      <c r="B321" s="9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31.5" customHeight="1">
      <c r="A322" s="8"/>
      <c r="B322" s="9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31.5" customHeight="1">
      <c r="A323" s="8"/>
      <c r="B323" s="9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31.5" customHeight="1">
      <c r="A324" s="8"/>
      <c r="B324" s="9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31.5" customHeight="1">
      <c r="A325" s="8"/>
      <c r="B325" s="9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31.5" customHeight="1">
      <c r="A326" s="8"/>
      <c r="B326" s="9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31.5" customHeight="1">
      <c r="A327" s="8"/>
      <c r="B327" s="9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31.5" customHeight="1">
      <c r="A328" s="8"/>
      <c r="B328" s="9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31.5" customHeight="1">
      <c r="A329" s="8"/>
      <c r="B329" s="9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31.5" customHeight="1">
      <c r="A330" s="8"/>
      <c r="B330" s="9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31.5" customHeight="1">
      <c r="A331" s="8"/>
      <c r="B331" s="9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31.5" customHeight="1">
      <c r="A332" s="8"/>
      <c r="B332" s="9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31.5" customHeight="1">
      <c r="A333" s="8"/>
      <c r="B333" s="9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31.5" customHeight="1">
      <c r="A334" s="8"/>
      <c r="B334" s="9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31.5" customHeight="1">
      <c r="A335" s="8"/>
      <c r="B335" s="9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31.5" customHeight="1">
      <c r="A336" s="8"/>
      <c r="B336" s="9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31.5" customHeight="1">
      <c r="A337" s="8"/>
      <c r="B337" s="9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31.5" customHeight="1">
      <c r="A338" s="8"/>
      <c r="B338" s="9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31.5" customHeight="1">
      <c r="A339" s="8"/>
      <c r="B339" s="9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31.5" customHeight="1">
      <c r="A340" s="8"/>
      <c r="B340" s="9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31.5" customHeight="1">
      <c r="A341" s="8"/>
      <c r="B341" s="9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31.5" customHeight="1">
      <c r="A342" s="8"/>
      <c r="B342" s="9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31.5" customHeight="1">
      <c r="A343" s="8"/>
      <c r="B343" s="9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31.5" customHeight="1">
      <c r="A344" s="8"/>
      <c r="B344" s="9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31.5" customHeight="1">
      <c r="A345" s="8"/>
      <c r="B345" s="9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31.5" customHeight="1">
      <c r="A346" s="8"/>
      <c r="B346" s="9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31.5" customHeight="1">
      <c r="A347" s="8"/>
      <c r="B347" s="9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31.5" customHeight="1">
      <c r="A348" s="8"/>
      <c r="B348" s="9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31.5" customHeight="1">
      <c r="A349" s="8"/>
      <c r="B349" s="9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31.5" customHeight="1">
      <c r="A350" s="8"/>
      <c r="B350" s="9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31.5" customHeight="1">
      <c r="A351" s="8"/>
      <c r="B351" s="9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31.5" customHeight="1">
      <c r="A352" s="8"/>
      <c r="B352" s="9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31.5" customHeight="1">
      <c r="A353" s="8"/>
      <c r="B353" s="9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31.5" customHeight="1">
      <c r="A354" s="8"/>
      <c r="B354" s="9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31.5" customHeight="1">
      <c r="A355" s="8"/>
      <c r="B355" s="9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31.5" customHeight="1">
      <c r="A356" s="8"/>
      <c r="B356" s="9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31.5" customHeight="1">
      <c r="A357" s="8"/>
      <c r="B357" s="9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31.5" customHeight="1">
      <c r="A358" s="8"/>
      <c r="B358" s="9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31.5" customHeight="1">
      <c r="A359" s="8"/>
      <c r="B359" s="9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31.5" customHeight="1">
      <c r="A360" s="8"/>
      <c r="B360" s="9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31.5" customHeight="1">
      <c r="A361" s="8"/>
      <c r="B361" s="9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31.5" customHeight="1">
      <c r="A362" s="8"/>
      <c r="B362" s="9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31.5" customHeight="1">
      <c r="A363" s="8"/>
      <c r="B363" s="9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31.5" customHeight="1">
      <c r="A364" s="8"/>
      <c r="B364" s="9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31.5" customHeight="1">
      <c r="A365" s="8"/>
      <c r="B365" s="9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31.5" customHeight="1">
      <c r="A366" s="8"/>
      <c r="B366" s="9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31.5" customHeight="1">
      <c r="A367" s="8"/>
      <c r="B367" s="9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31.5" customHeight="1">
      <c r="A368" s="8"/>
      <c r="B368" s="9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31.5" customHeight="1">
      <c r="A369" s="8"/>
      <c r="B369" s="9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31.5" customHeight="1">
      <c r="A370" s="8"/>
      <c r="B370" s="9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31.5" customHeight="1">
      <c r="A371" s="8"/>
      <c r="B371" s="9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31.5" customHeight="1">
      <c r="A372" s="8"/>
      <c r="B372" s="9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31.5" customHeight="1">
      <c r="A373" s="8"/>
      <c r="B373" s="9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31.5" customHeight="1">
      <c r="A374" s="8"/>
      <c r="B374" s="9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31.5" customHeight="1">
      <c r="A375" s="8"/>
      <c r="B375" s="9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31.5" customHeight="1">
      <c r="A376" s="8"/>
      <c r="B376" s="9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31.5" customHeight="1">
      <c r="A377" s="8"/>
      <c r="B377" s="9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31.5" customHeight="1">
      <c r="A378" s="8"/>
      <c r="B378" s="9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31.5" customHeight="1">
      <c r="A379" s="8"/>
      <c r="B379" s="9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31.5" customHeight="1">
      <c r="A380" s="8"/>
      <c r="B380" s="9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31.5" customHeight="1">
      <c r="A381" s="8"/>
      <c r="B381" s="9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31.5" customHeight="1">
      <c r="A382" s="8"/>
      <c r="B382" s="9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31.5" customHeight="1">
      <c r="A383" s="8"/>
      <c r="B383" s="9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31.5" customHeight="1">
      <c r="A384" s="8"/>
      <c r="B384" s="9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31.5" customHeight="1">
      <c r="A385" s="8"/>
      <c r="B385" s="9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31.5" customHeight="1">
      <c r="A386" s="8"/>
      <c r="B386" s="9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31.5" customHeight="1">
      <c r="A387" s="8"/>
      <c r="B387" s="9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31.5" customHeight="1">
      <c r="A388" s="8"/>
      <c r="B388" s="9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31.5" customHeight="1">
      <c r="A389" s="8"/>
      <c r="B389" s="9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31.5" customHeight="1">
      <c r="A390" s="8"/>
      <c r="B390" s="9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31.5" customHeight="1">
      <c r="A391" s="8"/>
      <c r="B391" s="9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31.5" customHeight="1">
      <c r="A392" s="8"/>
      <c r="B392" s="9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31.5" customHeight="1">
      <c r="A393" s="8"/>
      <c r="B393" s="9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31.5" customHeight="1">
      <c r="A394" s="8"/>
      <c r="B394" s="9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31.5" customHeight="1">
      <c r="A395" s="8"/>
      <c r="B395" s="9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31.5" customHeight="1">
      <c r="A396" s="8"/>
      <c r="B396" s="9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31.5" customHeight="1">
      <c r="A397" s="8"/>
      <c r="B397" s="9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31.5" customHeight="1">
      <c r="A398" s="8"/>
      <c r="B398" s="9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31.5" customHeight="1">
      <c r="A399" s="8"/>
      <c r="B399" s="9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31.5" customHeight="1">
      <c r="A400" s="8"/>
      <c r="B400" s="9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31.5" customHeight="1">
      <c r="A401" s="8"/>
      <c r="B401" s="9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31.5" customHeight="1">
      <c r="A402" s="8"/>
      <c r="B402" s="9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31.5" customHeight="1">
      <c r="A403" s="8"/>
      <c r="B403" s="9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31.5" customHeight="1">
      <c r="A404" s="8"/>
      <c r="B404" s="9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31.5" customHeight="1">
      <c r="A405" s="8"/>
      <c r="B405" s="9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31.5" customHeight="1">
      <c r="A406" s="8"/>
      <c r="B406" s="9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31.5" customHeight="1">
      <c r="A407" s="8"/>
      <c r="B407" s="9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31.5" customHeight="1">
      <c r="A408" s="8"/>
      <c r="B408" s="9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31.5" customHeight="1">
      <c r="A409" s="8"/>
      <c r="B409" s="9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31.5" customHeight="1">
      <c r="A410" s="8"/>
      <c r="B410" s="9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31.5" customHeight="1">
      <c r="A411" s="8"/>
      <c r="B411" s="9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31.5" customHeight="1">
      <c r="A412" s="8"/>
      <c r="B412" s="9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31.5" customHeight="1">
      <c r="A413" s="8"/>
      <c r="B413" s="9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31.5" customHeight="1">
      <c r="A414" s="8"/>
      <c r="B414" s="9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31.5" customHeight="1">
      <c r="A415" s="8"/>
      <c r="B415" s="9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31.5" customHeight="1">
      <c r="A416" s="8"/>
      <c r="B416" s="9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31.5" customHeight="1">
      <c r="A417" s="8"/>
      <c r="B417" s="9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31.5" customHeight="1">
      <c r="A418" s="8"/>
      <c r="B418" s="9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31.5" customHeight="1">
      <c r="A419" s="8"/>
      <c r="B419" s="9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31.5" customHeight="1">
      <c r="A420" s="8"/>
      <c r="B420" s="9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31.5" customHeight="1">
      <c r="A421" s="8"/>
      <c r="B421" s="9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31.5" customHeight="1">
      <c r="A422" s="8"/>
      <c r="B422" s="9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31.5" customHeight="1">
      <c r="A423" s="8"/>
      <c r="B423" s="9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31.5" customHeight="1">
      <c r="A424" s="8"/>
      <c r="B424" s="9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31.5" customHeight="1">
      <c r="A425" s="8"/>
      <c r="B425" s="9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31.5" customHeight="1">
      <c r="A426" s="8"/>
      <c r="B426" s="9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31.5" customHeight="1">
      <c r="A427" s="8"/>
      <c r="B427" s="9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31.5" customHeight="1">
      <c r="A428" s="8"/>
      <c r="B428" s="9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31.5" customHeight="1">
      <c r="A429" s="8"/>
      <c r="B429" s="9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31.5" customHeight="1">
      <c r="A430" s="8"/>
      <c r="B430" s="9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31.5" customHeight="1">
      <c r="A431" s="8"/>
      <c r="B431" s="9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31.5" customHeight="1">
      <c r="A432" s="8"/>
      <c r="B432" s="9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31.5" customHeight="1">
      <c r="A433" s="8"/>
      <c r="B433" s="9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31.5" customHeight="1">
      <c r="A434" s="8"/>
      <c r="B434" s="9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31.5" customHeight="1">
      <c r="A435" s="8"/>
      <c r="B435" s="9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31.5" customHeight="1">
      <c r="A436" s="8"/>
      <c r="B436" s="9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31.5" customHeight="1">
      <c r="A437" s="8"/>
      <c r="B437" s="9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31.5" customHeight="1">
      <c r="A438" s="8"/>
      <c r="B438" s="9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31.5" customHeight="1">
      <c r="A439" s="8"/>
      <c r="B439" s="9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31.5" customHeight="1">
      <c r="A440" s="8"/>
      <c r="B440" s="9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31.5" customHeight="1">
      <c r="A441" s="8"/>
      <c r="B441" s="9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31.5" customHeight="1">
      <c r="A442" s="8"/>
      <c r="B442" s="9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31.5" customHeight="1">
      <c r="A443" s="8"/>
      <c r="B443" s="9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31.5" customHeight="1">
      <c r="A444" s="8"/>
      <c r="B444" s="9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31.5" customHeight="1">
      <c r="A445" s="8"/>
      <c r="B445" s="9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31.5" customHeight="1">
      <c r="A446" s="8"/>
      <c r="B446" s="9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31.5" customHeight="1">
      <c r="A447" s="8"/>
      <c r="B447" s="9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31.5" customHeight="1">
      <c r="A448" s="8"/>
      <c r="B448" s="9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31.5" customHeight="1">
      <c r="A449" s="8"/>
      <c r="B449" s="9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31.5" customHeight="1">
      <c r="A450" s="8"/>
      <c r="B450" s="9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31.5" customHeight="1">
      <c r="A451" s="8"/>
      <c r="B451" s="9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31.5" customHeight="1">
      <c r="A452" s="8"/>
      <c r="B452" s="9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31.5" customHeight="1">
      <c r="A453" s="8"/>
      <c r="B453" s="9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31.5" customHeight="1">
      <c r="A454" s="8"/>
      <c r="B454" s="9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31.5" customHeight="1">
      <c r="A455" s="8"/>
      <c r="B455" s="9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31.5" customHeight="1">
      <c r="A456" s="8"/>
      <c r="B456" s="9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31.5" customHeight="1">
      <c r="A457" s="8"/>
      <c r="B457" s="9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31.5" customHeight="1">
      <c r="A458" s="8"/>
      <c r="B458" s="9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31.5" customHeight="1">
      <c r="A459" s="8"/>
      <c r="B459" s="9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31.5" customHeight="1">
      <c r="A460" s="8"/>
      <c r="B460" s="9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31.5" customHeight="1">
      <c r="A461" s="8"/>
      <c r="B461" s="9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31.5" customHeight="1">
      <c r="A462" s="8"/>
      <c r="B462" s="9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31.5" customHeight="1">
      <c r="A463" s="8"/>
      <c r="B463" s="9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31.5" customHeight="1">
      <c r="A464" s="8"/>
      <c r="B464" s="9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31.5" customHeight="1">
      <c r="A465" s="8"/>
      <c r="B465" s="9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31.5" customHeight="1">
      <c r="A466" s="8"/>
      <c r="B466" s="9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31.5" customHeight="1">
      <c r="A467" s="8"/>
      <c r="B467" s="9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31.5" customHeight="1">
      <c r="A468" s="8"/>
      <c r="B468" s="9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31.5" customHeight="1">
      <c r="A469" s="8"/>
      <c r="B469" s="9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31.5" customHeight="1">
      <c r="A470" s="8"/>
      <c r="B470" s="9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31.5" customHeight="1">
      <c r="A471" s="8"/>
      <c r="B471" s="9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31.5" customHeight="1">
      <c r="A472" s="8"/>
      <c r="B472" s="9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31.5" customHeight="1">
      <c r="A473" s="8"/>
      <c r="B473" s="9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31.5" customHeight="1">
      <c r="A474" s="8"/>
      <c r="B474" s="9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31.5" customHeight="1">
      <c r="A475" s="8"/>
      <c r="B475" s="9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31.5" customHeight="1">
      <c r="A476" s="8"/>
      <c r="B476" s="9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31.5" customHeight="1">
      <c r="A477" s="8"/>
      <c r="B477" s="9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31.5" customHeight="1">
      <c r="A478" s="8"/>
      <c r="B478" s="9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31.5" customHeight="1">
      <c r="A479" s="8"/>
      <c r="B479" s="9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31.5" customHeight="1">
      <c r="A480" s="8"/>
      <c r="B480" s="9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31.5" customHeight="1">
      <c r="A481" s="8"/>
      <c r="B481" s="9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31.5" customHeight="1">
      <c r="A482" s="8"/>
      <c r="B482" s="9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31.5" customHeight="1">
      <c r="A483" s="8"/>
      <c r="B483" s="9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31.5" customHeight="1">
      <c r="A484" s="8"/>
      <c r="B484" s="9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31.5" customHeight="1">
      <c r="A485" s="8"/>
      <c r="B485" s="9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31.5" customHeight="1">
      <c r="A486" s="8"/>
      <c r="B486" s="9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31.5" customHeight="1">
      <c r="A487" s="8"/>
      <c r="B487" s="9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31.5" customHeight="1">
      <c r="A488" s="8"/>
      <c r="B488" s="9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31.5" customHeight="1">
      <c r="A489" s="8"/>
      <c r="B489" s="9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31.5" customHeight="1">
      <c r="A490" s="8"/>
      <c r="B490" s="9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31.5" customHeight="1">
      <c r="A491" s="8"/>
      <c r="B491" s="9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31.5" customHeight="1">
      <c r="A492" s="8"/>
      <c r="B492" s="9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31.5" customHeight="1">
      <c r="A493" s="8"/>
      <c r="B493" s="9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31.5" customHeight="1">
      <c r="A494" s="8"/>
      <c r="B494" s="9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31.5" customHeight="1">
      <c r="A495" s="8"/>
      <c r="B495" s="9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31.5" customHeight="1">
      <c r="A496" s="8"/>
      <c r="B496" s="9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31.5" customHeight="1">
      <c r="A497" s="8"/>
      <c r="B497" s="9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31.5" customHeight="1">
      <c r="A498" s="8"/>
      <c r="B498" s="9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31.5" customHeight="1">
      <c r="A499" s="8"/>
      <c r="B499" s="9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31.5" customHeight="1">
      <c r="A500" s="8"/>
      <c r="B500" s="9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31.5" customHeight="1">
      <c r="A501" s="8"/>
      <c r="B501" s="9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31.5" customHeight="1">
      <c r="A502" s="8"/>
      <c r="B502" s="9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31.5" customHeight="1">
      <c r="A503" s="8"/>
      <c r="B503" s="9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31.5" customHeight="1">
      <c r="A504" s="8"/>
      <c r="B504" s="9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31.5" customHeight="1">
      <c r="A505" s="8"/>
      <c r="B505" s="9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31.5" customHeight="1">
      <c r="A506" s="8"/>
      <c r="B506" s="9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31.5" customHeight="1">
      <c r="A507" s="8"/>
      <c r="B507" s="9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31.5" customHeight="1">
      <c r="A508" s="8"/>
      <c r="B508" s="9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31.5" customHeight="1">
      <c r="A509" s="8"/>
      <c r="B509" s="9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31.5" customHeight="1">
      <c r="A510" s="8"/>
      <c r="B510" s="9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31.5" customHeight="1">
      <c r="A511" s="8"/>
      <c r="B511" s="9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31.5" customHeight="1">
      <c r="A512" s="8"/>
      <c r="B512" s="9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31.5" customHeight="1">
      <c r="A513" s="8"/>
      <c r="B513" s="9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31.5" customHeight="1">
      <c r="A514" s="8"/>
      <c r="B514" s="9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31.5" customHeight="1">
      <c r="A515" s="8"/>
      <c r="B515" s="9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31.5" customHeight="1">
      <c r="A516" s="8"/>
      <c r="B516" s="9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31.5" customHeight="1">
      <c r="A517" s="8"/>
      <c r="B517" s="9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31.5" customHeight="1">
      <c r="A518" s="8"/>
      <c r="B518" s="9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31.5" customHeight="1">
      <c r="A519" s="8"/>
      <c r="B519" s="9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31.5" customHeight="1">
      <c r="A520" s="8"/>
      <c r="B520" s="9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31.5" customHeight="1">
      <c r="A521" s="8"/>
      <c r="B521" s="9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31.5" customHeight="1">
      <c r="A522" s="8"/>
      <c r="B522" s="9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31.5" customHeight="1">
      <c r="A523" s="8"/>
      <c r="B523" s="9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31.5" customHeight="1">
      <c r="A524" s="8"/>
      <c r="B524" s="9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31.5" customHeight="1">
      <c r="A525" s="8"/>
      <c r="B525" s="9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31.5" customHeight="1">
      <c r="A526" s="8"/>
      <c r="B526" s="9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31.5" customHeight="1">
      <c r="A527" s="8"/>
      <c r="B527" s="9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31.5" customHeight="1">
      <c r="A528" s="8"/>
      <c r="B528" s="9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31.5" customHeight="1">
      <c r="A529" s="8"/>
      <c r="B529" s="9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31.5" customHeight="1">
      <c r="A530" s="8"/>
      <c r="B530" s="9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31.5" customHeight="1">
      <c r="A531" s="8"/>
      <c r="B531" s="9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31.5" customHeight="1">
      <c r="A532" s="8"/>
      <c r="B532" s="9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31.5" customHeight="1">
      <c r="A533" s="8"/>
      <c r="B533" s="9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31.5" customHeight="1">
      <c r="A534" s="8"/>
      <c r="B534" s="9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31.5" customHeight="1">
      <c r="A535" s="8"/>
      <c r="B535" s="9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31.5" customHeight="1">
      <c r="A536" s="8"/>
      <c r="B536" s="9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31.5" customHeight="1">
      <c r="A537" s="8"/>
      <c r="B537" s="9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31.5" customHeight="1">
      <c r="A538" s="8"/>
      <c r="B538" s="9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31.5" customHeight="1">
      <c r="A539" s="8"/>
      <c r="B539" s="9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31.5" customHeight="1">
      <c r="A540" s="8"/>
      <c r="B540" s="9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31.5" customHeight="1">
      <c r="A541" s="8"/>
      <c r="B541" s="9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31.5" customHeight="1">
      <c r="A542" s="8"/>
      <c r="B542" s="9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31.5" customHeight="1">
      <c r="A543" s="8"/>
      <c r="B543" s="9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31.5" customHeight="1">
      <c r="A544" s="8"/>
      <c r="B544" s="9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31.5" customHeight="1">
      <c r="A545" s="8"/>
      <c r="B545" s="9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31.5" customHeight="1">
      <c r="A546" s="8"/>
      <c r="B546" s="9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31.5" customHeight="1">
      <c r="A547" s="8"/>
      <c r="B547" s="9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31.5" customHeight="1">
      <c r="A548" s="8"/>
      <c r="B548" s="9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31.5" customHeight="1">
      <c r="A549" s="8"/>
      <c r="B549" s="9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31.5" customHeight="1">
      <c r="A550" s="8"/>
      <c r="B550" s="9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31.5" customHeight="1">
      <c r="A551" s="8"/>
      <c r="B551" s="9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31.5" customHeight="1">
      <c r="A552" s="8"/>
      <c r="B552" s="9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31.5" customHeight="1">
      <c r="A553" s="8"/>
      <c r="B553" s="9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31.5" customHeight="1">
      <c r="A554" s="8"/>
      <c r="B554" s="9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31.5" customHeight="1">
      <c r="A555" s="8"/>
      <c r="B555" s="9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31.5" customHeight="1">
      <c r="A556" s="8"/>
      <c r="B556" s="9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31.5" customHeight="1">
      <c r="A557" s="8"/>
      <c r="B557" s="9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31.5" customHeight="1">
      <c r="A558" s="8"/>
      <c r="B558" s="9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31.5" customHeight="1">
      <c r="A559" s="8"/>
      <c r="B559" s="9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31.5" customHeight="1">
      <c r="A560" s="8"/>
      <c r="B560" s="9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31.5" customHeight="1">
      <c r="A561" s="8"/>
      <c r="B561" s="9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31.5" customHeight="1">
      <c r="A562" s="8"/>
      <c r="B562" s="9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31.5" customHeight="1">
      <c r="A563" s="8"/>
      <c r="B563" s="9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31.5" customHeight="1">
      <c r="A564" s="8"/>
      <c r="B564" s="9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31.5" customHeight="1">
      <c r="A565" s="8"/>
      <c r="B565" s="9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31.5" customHeight="1">
      <c r="A566" s="8"/>
      <c r="B566" s="9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31.5" customHeight="1">
      <c r="A567" s="8"/>
      <c r="B567" s="9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31.5" customHeight="1">
      <c r="A568" s="8"/>
      <c r="B568" s="9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31.5" customHeight="1">
      <c r="A569" s="8"/>
      <c r="B569" s="9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31.5" customHeight="1">
      <c r="A570" s="8"/>
      <c r="B570" s="9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31.5" customHeight="1">
      <c r="A571" s="8"/>
      <c r="B571" s="9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31.5" customHeight="1">
      <c r="A572" s="8"/>
      <c r="B572" s="9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31.5" customHeight="1">
      <c r="A573" s="8"/>
      <c r="B573" s="9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31.5" customHeight="1">
      <c r="A574" s="8"/>
      <c r="B574" s="9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31.5" customHeight="1">
      <c r="A575" s="8"/>
      <c r="B575" s="9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31.5" customHeight="1">
      <c r="A576" s="8"/>
      <c r="B576" s="9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31.5" customHeight="1">
      <c r="A577" s="8"/>
      <c r="B577" s="9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31.5" customHeight="1">
      <c r="A578" s="8"/>
      <c r="B578" s="9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31.5" customHeight="1">
      <c r="A579" s="8"/>
      <c r="B579" s="9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31.5" customHeight="1">
      <c r="A580" s="8"/>
      <c r="B580" s="9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31.5" customHeight="1">
      <c r="A581" s="8"/>
      <c r="B581" s="9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31.5" customHeight="1">
      <c r="A582" s="8"/>
      <c r="B582" s="9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31.5" customHeight="1">
      <c r="A583" s="8"/>
      <c r="B583" s="9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31.5" customHeight="1">
      <c r="A584" s="8"/>
      <c r="B584" s="9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31.5" customHeight="1">
      <c r="A585" s="8"/>
      <c r="B585" s="9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31.5" customHeight="1">
      <c r="A586" s="8"/>
      <c r="B586" s="9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31.5" customHeight="1">
      <c r="A587" s="8"/>
      <c r="B587" s="9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31.5" customHeight="1">
      <c r="A588" s="8"/>
      <c r="B588" s="9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31.5" customHeight="1">
      <c r="A589" s="8"/>
      <c r="B589" s="9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31.5" customHeight="1">
      <c r="A590" s="8"/>
      <c r="B590" s="9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31.5" customHeight="1">
      <c r="A591" s="8"/>
      <c r="B591" s="9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31.5" customHeight="1">
      <c r="A592" s="8"/>
      <c r="B592" s="9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31.5" customHeight="1">
      <c r="A593" s="8"/>
      <c r="B593" s="9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31.5" customHeight="1">
      <c r="A594" s="8"/>
      <c r="B594" s="9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31.5" customHeight="1">
      <c r="A595" s="8"/>
      <c r="B595" s="9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31.5" customHeight="1">
      <c r="A596" s="8"/>
      <c r="B596" s="9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31.5" customHeight="1">
      <c r="A597" s="8"/>
      <c r="B597" s="9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31.5" customHeight="1">
      <c r="A598" s="8"/>
      <c r="B598" s="9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31.5" customHeight="1">
      <c r="A599" s="8"/>
      <c r="B599" s="9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31.5" customHeight="1">
      <c r="A600" s="8"/>
      <c r="B600" s="9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31.5" customHeight="1">
      <c r="A601" s="8"/>
      <c r="B601" s="9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31.5" customHeight="1">
      <c r="A602" s="8"/>
      <c r="B602" s="9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31.5" customHeight="1">
      <c r="A603" s="8"/>
      <c r="B603" s="9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31.5" customHeight="1">
      <c r="A604" s="8"/>
      <c r="B604" s="9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31.5" customHeight="1">
      <c r="A605" s="8"/>
      <c r="B605" s="9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31.5" customHeight="1">
      <c r="A606" s="8"/>
      <c r="B606" s="9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31.5" customHeight="1">
      <c r="A607" s="8"/>
      <c r="B607" s="9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31.5" customHeight="1">
      <c r="A608" s="8"/>
      <c r="B608" s="9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31.5" customHeight="1">
      <c r="A609" s="8"/>
      <c r="B609" s="9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31.5" customHeight="1">
      <c r="A610" s="8"/>
      <c r="B610" s="9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31.5" customHeight="1">
      <c r="A611" s="8"/>
      <c r="B611" s="9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31.5" customHeight="1">
      <c r="A612" s="8"/>
      <c r="B612" s="9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31.5" customHeight="1">
      <c r="A613" s="8"/>
      <c r="B613" s="9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31.5" customHeight="1">
      <c r="A614" s="8"/>
      <c r="B614" s="9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31.5" customHeight="1">
      <c r="A615" s="8"/>
      <c r="B615" s="9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31.5" customHeight="1">
      <c r="A616" s="8"/>
      <c r="B616" s="9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31.5" customHeight="1">
      <c r="A617" s="8"/>
      <c r="B617" s="9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31.5" customHeight="1">
      <c r="A618" s="8"/>
      <c r="B618" s="9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31.5" customHeight="1">
      <c r="A619" s="8"/>
      <c r="B619" s="9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31.5" customHeight="1">
      <c r="A620" s="8"/>
      <c r="B620" s="9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31.5" customHeight="1">
      <c r="A621" s="8"/>
      <c r="B621" s="9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31.5" customHeight="1">
      <c r="A622" s="8"/>
      <c r="B622" s="9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31.5" customHeight="1">
      <c r="A623" s="8"/>
      <c r="B623" s="9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31.5" customHeight="1">
      <c r="A624" s="8"/>
      <c r="B624" s="9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31.5" customHeight="1">
      <c r="A625" s="8"/>
      <c r="B625" s="9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31.5" customHeight="1">
      <c r="A626" s="8"/>
      <c r="B626" s="9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31.5" customHeight="1">
      <c r="A627" s="8"/>
      <c r="B627" s="9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31.5" customHeight="1">
      <c r="A628" s="8"/>
      <c r="B628" s="9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31.5" customHeight="1">
      <c r="A629" s="8"/>
      <c r="B629" s="9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31.5" customHeight="1">
      <c r="A630" s="8"/>
      <c r="B630" s="9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31.5" customHeight="1">
      <c r="A631" s="8"/>
      <c r="B631" s="9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31.5" customHeight="1">
      <c r="A632" s="8"/>
      <c r="B632" s="9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31.5" customHeight="1">
      <c r="A633" s="8"/>
      <c r="B633" s="9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31.5" customHeight="1">
      <c r="A634" s="8"/>
      <c r="B634" s="9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31.5" customHeight="1">
      <c r="A635" s="8"/>
      <c r="B635" s="9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31.5" customHeight="1">
      <c r="A636" s="8"/>
      <c r="B636" s="9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31.5" customHeight="1">
      <c r="A637" s="8"/>
      <c r="B637" s="9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31.5" customHeight="1">
      <c r="A638" s="8"/>
      <c r="B638" s="9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31.5" customHeight="1">
      <c r="A639" s="8"/>
      <c r="B639" s="9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31.5" customHeight="1">
      <c r="A640" s="8"/>
      <c r="B640" s="9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31.5" customHeight="1">
      <c r="A641" s="8"/>
      <c r="B641" s="9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31.5" customHeight="1">
      <c r="A642" s="8"/>
      <c r="B642" s="9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31.5" customHeight="1">
      <c r="A643" s="8"/>
      <c r="B643" s="9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31.5" customHeight="1">
      <c r="A644" s="8"/>
      <c r="B644" s="9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31.5" customHeight="1">
      <c r="A645" s="8"/>
      <c r="B645" s="9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31.5" customHeight="1">
      <c r="A646" s="8"/>
      <c r="B646" s="9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31.5" customHeight="1">
      <c r="A647" s="8"/>
      <c r="B647" s="9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31.5" customHeight="1">
      <c r="A648" s="8"/>
      <c r="B648" s="9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31.5" customHeight="1">
      <c r="A649" s="8"/>
      <c r="B649" s="9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31.5" customHeight="1">
      <c r="A650" s="8"/>
      <c r="B650" s="9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31.5" customHeight="1">
      <c r="A651" s="8"/>
      <c r="B651" s="9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31.5" customHeight="1">
      <c r="A652" s="8"/>
      <c r="B652" s="9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31.5" customHeight="1">
      <c r="A653" s="8"/>
      <c r="B653" s="9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31.5" customHeight="1">
      <c r="A654" s="8"/>
      <c r="B654" s="9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31.5" customHeight="1">
      <c r="A655" s="8"/>
      <c r="B655" s="9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31.5" customHeight="1">
      <c r="A656" s="8"/>
      <c r="B656" s="9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31.5" customHeight="1">
      <c r="A657" s="8"/>
      <c r="B657" s="9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31.5" customHeight="1">
      <c r="A658" s="8"/>
      <c r="B658" s="9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31.5" customHeight="1">
      <c r="A659" s="8"/>
      <c r="B659" s="9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31.5" customHeight="1">
      <c r="A660" s="8"/>
      <c r="B660" s="9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31.5" customHeight="1">
      <c r="A661" s="8"/>
      <c r="B661" s="9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31.5" customHeight="1">
      <c r="A662" s="8"/>
      <c r="B662" s="9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31.5" customHeight="1">
      <c r="A663" s="8"/>
      <c r="B663" s="9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31.5" customHeight="1">
      <c r="A664" s="8"/>
      <c r="B664" s="9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31.5" customHeight="1">
      <c r="A665" s="8"/>
      <c r="B665" s="9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31.5" customHeight="1">
      <c r="A666" s="8"/>
      <c r="B666" s="9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31.5" customHeight="1">
      <c r="A667" s="8"/>
      <c r="B667" s="9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31.5" customHeight="1">
      <c r="A668" s="8"/>
      <c r="B668" s="9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31.5" customHeight="1">
      <c r="A669" s="8"/>
      <c r="B669" s="9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31.5" customHeight="1">
      <c r="A670" s="8"/>
      <c r="B670" s="9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31.5" customHeight="1">
      <c r="A671" s="8"/>
      <c r="B671" s="9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31.5" customHeight="1">
      <c r="A672" s="8"/>
      <c r="B672" s="9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31.5" customHeight="1">
      <c r="A673" s="8"/>
      <c r="B673" s="9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31.5" customHeight="1">
      <c r="A674" s="8"/>
      <c r="B674" s="9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31.5" customHeight="1">
      <c r="A675" s="8"/>
      <c r="B675" s="9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31.5" customHeight="1">
      <c r="A676" s="8"/>
      <c r="B676" s="9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31.5" customHeight="1">
      <c r="A677" s="8"/>
      <c r="B677" s="9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31.5" customHeight="1">
      <c r="A678" s="8"/>
      <c r="B678" s="9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31.5" customHeight="1">
      <c r="A679" s="8"/>
      <c r="B679" s="9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31.5" customHeight="1">
      <c r="A680" s="8"/>
      <c r="B680" s="9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31.5" customHeight="1">
      <c r="A681" s="8"/>
      <c r="B681" s="9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31.5" customHeight="1">
      <c r="A682" s="8"/>
      <c r="B682" s="9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31.5" customHeight="1">
      <c r="A683" s="8"/>
      <c r="B683" s="9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31.5" customHeight="1">
      <c r="A684" s="8"/>
      <c r="B684" s="9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31.5" customHeight="1">
      <c r="A685" s="8"/>
      <c r="B685" s="9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31.5" customHeight="1">
      <c r="A686" s="8"/>
      <c r="B686" s="9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31.5" customHeight="1">
      <c r="A687" s="8"/>
      <c r="B687" s="9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31.5" customHeight="1">
      <c r="A688" s="8"/>
      <c r="B688" s="9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31.5" customHeight="1">
      <c r="A689" s="8"/>
      <c r="B689" s="9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31.5" customHeight="1">
      <c r="A690" s="8"/>
      <c r="B690" s="9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31.5" customHeight="1">
      <c r="A691" s="8"/>
      <c r="B691" s="9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31.5" customHeight="1">
      <c r="A692" s="8"/>
      <c r="B692" s="9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31.5" customHeight="1">
      <c r="A693" s="8"/>
      <c r="B693" s="9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31.5" customHeight="1">
      <c r="A694" s="8"/>
      <c r="B694" s="9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31.5" customHeight="1">
      <c r="A695" s="8"/>
      <c r="B695" s="9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31.5" customHeight="1">
      <c r="A696" s="8"/>
      <c r="B696" s="9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31.5" customHeight="1">
      <c r="A697" s="8"/>
      <c r="B697" s="9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31.5" customHeight="1">
      <c r="A698" s="8"/>
      <c r="B698" s="9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31.5" customHeight="1">
      <c r="A699" s="8"/>
      <c r="B699" s="9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31.5" customHeight="1">
      <c r="A700" s="8"/>
      <c r="B700" s="9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31.5" customHeight="1">
      <c r="A701" s="8"/>
      <c r="B701" s="9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31.5" customHeight="1">
      <c r="A702" s="8"/>
      <c r="B702" s="9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31.5" customHeight="1">
      <c r="A703" s="8"/>
      <c r="B703" s="9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31.5" customHeight="1">
      <c r="A704" s="8"/>
      <c r="B704" s="9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31.5" customHeight="1">
      <c r="A705" s="8"/>
      <c r="B705" s="9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31.5" customHeight="1">
      <c r="A706" s="8"/>
      <c r="B706" s="9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31.5" customHeight="1">
      <c r="A707" s="8"/>
      <c r="B707" s="9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31.5" customHeight="1">
      <c r="A708" s="8"/>
      <c r="B708" s="9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31.5" customHeight="1">
      <c r="A709" s="8"/>
      <c r="B709" s="9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31.5" customHeight="1">
      <c r="A710" s="8"/>
      <c r="B710" s="9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31.5" customHeight="1">
      <c r="A711" s="8"/>
      <c r="B711" s="9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31.5" customHeight="1">
      <c r="A712" s="8"/>
      <c r="B712" s="9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31.5" customHeight="1">
      <c r="A713" s="8"/>
      <c r="B713" s="9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31.5" customHeight="1">
      <c r="A714" s="8"/>
      <c r="B714" s="9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31.5" customHeight="1">
      <c r="A715" s="8"/>
      <c r="B715" s="9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31.5" customHeight="1">
      <c r="A716" s="8"/>
      <c r="B716" s="9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31.5" customHeight="1">
      <c r="A717" s="8"/>
      <c r="B717" s="9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31.5" customHeight="1">
      <c r="A718" s="8"/>
      <c r="B718" s="9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31.5" customHeight="1">
      <c r="A719" s="8"/>
      <c r="B719" s="9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31.5" customHeight="1">
      <c r="A720" s="8"/>
      <c r="B720" s="9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31.5" customHeight="1">
      <c r="A721" s="8"/>
      <c r="B721" s="9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31.5" customHeight="1">
      <c r="A722" s="8"/>
      <c r="B722" s="9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31.5" customHeight="1">
      <c r="A723" s="8"/>
      <c r="B723" s="9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31.5" customHeight="1">
      <c r="A724" s="8"/>
      <c r="B724" s="9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31.5" customHeight="1">
      <c r="A725" s="8"/>
      <c r="B725" s="9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31.5" customHeight="1">
      <c r="A726" s="8"/>
      <c r="B726" s="9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31.5" customHeight="1">
      <c r="A727" s="8"/>
      <c r="B727" s="9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31.5" customHeight="1">
      <c r="A728" s="8"/>
      <c r="B728" s="9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31.5" customHeight="1">
      <c r="A729" s="8"/>
      <c r="B729" s="9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31.5" customHeight="1">
      <c r="A730" s="8"/>
      <c r="B730" s="9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31.5" customHeight="1">
      <c r="A731" s="8"/>
      <c r="B731" s="9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31.5" customHeight="1">
      <c r="A732" s="8"/>
      <c r="B732" s="9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31.5" customHeight="1">
      <c r="A733" s="8"/>
      <c r="B733" s="9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31.5" customHeight="1">
      <c r="A734" s="8"/>
      <c r="B734" s="9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31.5" customHeight="1">
      <c r="A735" s="8"/>
      <c r="B735" s="9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31.5" customHeight="1">
      <c r="A736" s="8"/>
      <c r="B736" s="9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31.5" customHeight="1">
      <c r="A737" s="8"/>
      <c r="B737" s="9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31.5" customHeight="1">
      <c r="A738" s="8"/>
      <c r="B738" s="9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31.5" customHeight="1">
      <c r="A739" s="8"/>
      <c r="B739" s="9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31.5" customHeight="1">
      <c r="A740" s="8"/>
      <c r="B740" s="9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31.5" customHeight="1">
      <c r="A741" s="8"/>
      <c r="B741" s="9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31.5" customHeight="1">
      <c r="A742" s="8"/>
      <c r="B742" s="9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31.5" customHeight="1">
      <c r="A743" s="8"/>
      <c r="B743" s="9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31.5" customHeight="1">
      <c r="A744" s="8"/>
      <c r="B744" s="9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31.5" customHeight="1">
      <c r="A745" s="8"/>
      <c r="B745" s="9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31.5" customHeight="1">
      <c r="A746" s="8"/>
      <c r="B746" s="9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31.5" customHeight="1">
      <c r="A747" s="8"/>
      <c r="B747" s="9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31.5" customHeight="1">
      <c r="A748" s="8"/>
      <c r="B748" s="9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31.5" customHeight="1">
      <c r="A749" s="8"/>
      <c r="B749" s="9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31.5" customHeight="1">
      <c r="A750" s="8"/>
      <c r="B750" s="9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31.5" customHeight="1">
      <c r="A751" s="8"/>
      <c r="B751" s="9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31.5" customHeight="1">
      <c r="A752" s="8"/>
      <c r="B752" s="9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31.5" customHeight="1">
      <c r="A753" s="8"/>
      <c r="B753" s="9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31.5" customHeight="1">
      <c r="A754" s="8"/>
      <c r="B754" s="9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31.5" customHeight="1">
      <c r="A755" s="8"/>
      <c r="B755" s="9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31.5" customHeight="1">
      <c r="A756" s="8"/>
      <c r="B756" s="9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31.5" customHeight="1">
      <c r="A757" s="8"/>
      <c r="B757" s="9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31.5" customHeight="1">
      <c r="A758" s="8"/>
      <c r="B758" s="9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31.5" customHeight="1">
      <c r="A759" s="8"/>
      <c r="B759" s="9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31.5" customHeight="1">
      <c r="A760" s="8"/>
      <c r="B760" s="9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31.5" customHeight="1">
      <c r="A761" s="8"/>
      <c r="B761" s="9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31.5" customHeight="1">
      <c r="A762" s="8"/>
      <c r="B762" s="9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31.5" customHeight="1">
      <c r="A763" s="8"/>
      <c r="B763" s="9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31.5" customHeight="1">
      <c r="A764" s="8"/>
      <c r="B764" s="9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31.5" customHeight="1">
      <c r="A765" s="8"/>
      <c r="B765" s="9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31.5" customHeight="1">
      <c r="A766" s="8"/>
      <c r="B766" s="9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31.5" customHeight="1">
      <c r="A767" s="8"/>
      <c r="B767" s="9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31.5" customHeight="1">
      <c r="A768" s="8"/>
      <c r="B768" s="9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31.5" customHeight="1">
      <c r="A769" s="8"/>
      <c r="B769" s="9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31.5" customHeight="1">
      <c r="A770" s="8"/>
      <c r="B770" s="9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31.5" customHeight="1">
      <c r="A771" s="8"/>
      <c r="B771" s="9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31.5" customHeight="1">
      <c r="A772" s="8"/>
      <c r="B772" s="9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31.5" customHeight="1">
      <c r="A773" s="8"/>
      <c r="B773" s="9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31.5" customHeight="1">
      <c r="A774" s="8"/>
      <c r="B774" s="9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31.5" customHeight="1">
      <c r="A775" s="8"/>
      <c r="B775" s="9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31.5" customHeight="1">
      <c r="A776" s="8"/>
      <c r="B776" s="9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31.5" customHeight="1">
      <c r="A777" s="8"/>
      <c r="B777" s="9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31.5" customHeight="1">
      <c r="A778" s="8"/>
      <c r="B778" s="9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31.5" customHeight="1">
      <c r="A779" s="8"/>
      <c r="B779" s="9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31.5" customHeight="1">
      <c r="A780" s="8"/>
      <c r="B780" s="9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31.5" customHeight="1">
      <c r="A781" s="8"/>
      <c r="B781" s="9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31.5" customHeight="1">
      <c r="A782" s="8"/>
      <c r="B782" s="9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31.5" customHeight="1">
      <c r="A783" s="8"/>
      <c r="B783" s="9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31.5" customHeight="1">
      <c r="A784" s="8"/>
      <c r="B784" s="9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31.5" customHeight="1">
      <c r="A785" s="8"/>
      <c r="B785" s="9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31.5" customHeight="1">
      <c r="A786" s="8"/>
      <c r="B786" s="9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31.5" customHeight="1">
      <c r="A787" s="8"/>
      <c r="B787" s="9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31.5" customHeight="1">
      <c r="A788" s="8"/>
      <c r="B788" s="9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31.5" customHeight="1">
      <c r="A789" s="8"/>
      <c r="B789" s="9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31.5" customHeight="1">
      <c r="A790" s="8"/>
      <c r="B790" s="9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31.5" customHeight="1">
      <c r="A791" s="8"/>
      <c r="B791" s="9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31.5" customHeight="1">
      <c r="A792" s="8"/>
      <c r="B792" s="9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31.5" customHeight="1">
      <c r="A793" s="8"/>
      <c r="B793" s="9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31.5" customHeight="1">
      <c r="A794" s="8"/>
      <c r="B794" s="9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31.5" customHeight="1">
      <c r="A795" s="8"/>
      <c r="B795" s="9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31.5" customHeight="1">
      <c r="A796" s="8"/>
      <c r="B796" s="9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31.5" customHeight="1">
      <c r="A797" s="8"/>
      <c r="B797" s="9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31.5" customHeight="1">
      <c r="A798" s="8"/>
      <c r="B798" s="9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31.5" customHeight="1">
      <c r="A799" s="8"/>
      <c r="B799" s="9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31.5" customHeight="1">
      <c r="A800" s="8"/>
      <c r="B800" s="9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31.5" customHeight="1">
      <c r="A801" s="8"/>
      <c r="B801" s="9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31.5" customHeight="1">
      <c r="A802" s="8"/>
      <c r="B802" s="9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31.5" customHeight="1">
      <c r="A803" s="8"/>
      <c r="B803" s="9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31.5" customHeight="1">
      <c r="A804" s="8"/>
      <c r="B804" s="9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31.5" customHeight="1">
      <c r="A805" s="8"/>
      <c r="B805" s="9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31.5" customHeight="1">
      <c r="A806" s="8"/>
      <c r="B806" s="9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31.5" customHeight="1">
      <c r="A807" s="8"/>
      <c r="B807" s="9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31.5" customHeight="1">
      <c r="A808" s="8"/>
      <c r="B808" s="9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31.5" customHeight="1">
      <c r="A809" s="8"/>
      <c r="B809" s="9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31.5" customHeight="1">
      <c r="A810" s="8"/>
      <c r="B810" s="9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31.5" customHeight="1">
      <c r="A811" s="8"/>
      <c r="B811" s="9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31.5" customHeight="1">
      <c r="A812" s="8"/>
      <c r="B812" s="9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31.5" customHeight="1">
      <c r="A813" s="8"/>
      <c r="B813" s="9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31.5" customHeight="1">
      <c r="A814" s="8"/>
      <c r="B814" s="9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31.5" customHeight="1">
      <c r="A815" s="8"/>
      <c r="B815" s="9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31.5" customHeight="1">
      <c r="A816" s="8"/>
      <c r="B816" s="9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31.5" customHeight="1">
      <c r="A817" s="8"/>
      <c r="B817" s="9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31.5" customHeight="1">
      <c r="A818" s="8"/>
      <c r="B818" s="9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31.5" customHeight="1">
      <c r="A819" s="8"/>
      <c r="B819" s="9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31.5" customHeight="1">
      <c r="A820" s="8"/>
      <c r="B820" s="9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31.5" customHeight="1">
      <c r="A821" s="8"/>
      <c r="B821" s="9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31.5" customHeight="1">
      <c r="A822" s="8"/>
      <c r="B822" s="9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31.5" customHeight="1">
      <c r="A823" s="8"/>
      <c r="B823" s="9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31.5" customHeight="1">
      <c r="A824" s="8"/>
      <c r="B824" s="9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31.5" customHeight="1">
      <c r="A825" s="8"/>
      <c r="B825" s="9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31.5" customHeight="1">
      <c r="A826" s="8"/>
      <c r="B826" s="9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31.5" customHeight="1">
      <c r="A827" s="8"/>
      <c r="B827" s="9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31.5" customHeight="1">
      <c r="A828" s="8"/>
      <c r="B828" s="9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31.5" customHeight="1">
      <c r="A829" s="8"/>
      <c r="B829" s="9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31.5" customHeight="1">
      <c r="A830" s="8"/>
      <c r="B830" s="9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31.5" customHeight="1">
      <c r="A831" s="8"/>
      <c r="B831" s="9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31.5" customHeight="1">
      <c r="A832" s="8"/>
      <c r="B832" s="9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31.5" customHeight="1">
      <c r="A833" s="8"/>
      <c r="B833" s="9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31.5" customHeight="1">
      <c r="A834" s="8"/>
      <c r="B834" s="9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31.5" customHeight="1">
      <c r="A835" s="8"/>
      <c r="B835" s="9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31.5" customHeight="1">
      <c r="A836" s="8"/>
      <c r="B836" s="9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31.5" customHeight="1">
      <c r="A837" s="8"/>
      <c r="B837" s="9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31.5" customHeight="1">
      <c r="A838" s="8"/>
      <c r="B838" s="9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31.5" customHeight="1">
      <c r="A839" s="8"/>
      <c r="B839" s="9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31.5" customHeight="1">
      <c r="A840" s="8"/>
      <c r="B840" s="9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31.5" customHeight="1">
      <c r="A841" s="8"/>
      <c r="B841" s="9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31.5" customHeight="1">
      <c r="A842" s="8"/>
      <c r="B842" s="9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31.5" customHeight="1">
      <c r="A843" s="8"/>
      <c r="B843" s="9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31.5" customHeight="1">
      <c r="A844" s="8"/>
      <c r="B844" s="9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31.5" customHeight="1">
      <c r="A845" s="8"/>
      <c r="B845" s="9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31.5" customHeight="1">
      <c r="A846" s="8"/>
      <c r="B846" s="9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31.5" customHeight="1">
      <c r="A847" s="8"/>
      <c r="B847" s="9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31.5" customHeight="1">
      <c r="A848" s="8"/>
      <c r="B848" s="9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31.5" customHeight="1">
      <c r="A849" s="8"/>
      <c r="B849" s="9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31.5" customHeight="1">
      <c r="A850" s="8"/>
      <c r="B850" s="9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31.5" customHeight="1">
      <c r="A851" s="8"/>
      <c r="B851" s="9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31.5" customHeight="1">
      <c r="A852" s="8"/>
      <c r="B852" s="9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31.5" customHeight="1">
      <c r="A853" s="8"/>
      <c r="B853" s="9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31.5" customHeight="1">
      <c r="A854" s="8"/>
      <c r="B854" s="9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31.5" customHeight="1">
      <c r="A855" s="8"/>
      <c r="B855" s="9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31.5" customHeight="1">
      <c r="A856" s="8"/>
      <c r="B856" s="9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31.5" customHeight="1">
      <c r="A857" s="8"/>
      <c r="B857" s="9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31.5" customHeight="1">
      <c r="A858" s="8"/>
      <c r="B858" s="9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31.5" customHeight="1">
      <c r="A859" s="8"/>
      <c r="B859" s="9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31.5" customHeight="1">
      <c r="A860" s="8"/>
      <c r="B860" s="9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31.5" customHeight="1">
      <c r="A861" s="8"/>
      <c r="B861" s="9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31.5" customHeight="1">
      <c r="A862" s="8"/>
      <c r="B862" s="9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31.5" customHeight="1">
      <c r="A863" s="8"/>
      <c r="B863" s="9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31.5" customHeight="1">
      <c r="A864" s="8"/>
      <c r="B864" s="9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31.5" customHeight="1">
      <c r="A865" s="8"/>
      <c r="B865" s="9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31.5" customHeight="1">
      <c r="A866" s="8"/>
      <c r="B866" s="9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31.5" customHeight="1">
      <c r="A867" s="8"/>
      <c r="B867" s="9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31.5" customHeight="1">
      <c r="A868" s="8"/>
      <c r="B868" s="9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31.5" customHeight="1">
      <c r="A869" s="8"/>
      <c r="B869" s="9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31.5" customHeight="1">
      <c r="A870" s="8"/>
      <c r="B870" s="9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31.5" customHeight="1">
      <c r="A871" s="8"/>
      <c r="B871" s="9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31.5" customHeight="1">
      <c r="A872" s="8"/>
      <c r="B872" s="9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31.5" customHeight="1">
      <c r="A873" s="8"/>
      <c r="B873" s="9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31.5" customHeight="1">
      <c r="A874" s="8"/>
      <c r="B874" s="9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31.5" customHeight="1">
      <c r="A875" s="8"/>
      <c r="B875" s="9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31.5" customHeight="1">
      <c r="A876" s="8"/>
      <c r="B876" s="9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31.5" customHeight="1">
      <c r="A877" s="8"/>
      <c r="B877" s="9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31.5" customHeight="1">
      <c r="A878" s="8"/>
      <c r="B878" s="9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31.5" customHeight="1">
      <c r="A879" s="8"/>
      <c r="B879" s="9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31.5" customHeight="1">
      <c r="A880" s="8"/>
      <c r="B880" s="9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31.5" customHeight="1">
      <c r="A881" s="8"/>
      <c r="B881" s="9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31.5" customHeight="1">
      <c r="A882" s="8"/>
      <c r="B882" s="9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31.5" customHeight="1">
      <c r="A883" s="8"/>
      <c r="B883" s="9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31.5" customHeight="1">
      <c r="A884" s="8"/>
      <c r="B884" s="9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31.5" customHeight="1">
      <c r="A885" s="8"/>
      <c r="B885" s="9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31.5" customHeight="1">
      <c r="A886" s="8"/>
      <c r="B886" s="9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31.5" customHeight="1">
      <c r="A887" s="8"/>
      <c r="B887" s="9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31.5" customHeight="1">
      <c r="A888" s="8"/>
      <c r="B888" s="9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31.5" customHeight="1">
      <c r="A889" s="8"/>
      <c r="B889" s="9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31.5" customHeight="1">
      <c r="A890" s="8"/>
      <c r="B890" s="9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31.5" customHeight="1">
      <c r="A891" s="8"/>
      <c r="B891" s="9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31.5" customHeight="1">
      <c r="A892" s="8"/>
      <c r="B892" s="9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31.5" customHeight="1">
      <c r="A893" s="8"/>
      <c r="B893" s="9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31.5" customHeight="1">
      <c r="A894" s="8"/>
      <c r="B894" s="9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31.5" customHeight="1">
      <c r="A895" s="8"/>
      <c r="B895" s="9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31.5" customHeight="1">
      <c r="A896" s="8"/>
      <c r="B896" s="9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31.5" customHeight="1">
      <c r="A897" s="8"/>
      <c r="B897" s="9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31.5" customHeight="1">
      <c r="A898" s="8"/>
      <c r="B898" s="9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31.5" customHeight="1">
      <c r="A899" s="8"/>
      <c r="B899" s="9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31.5" customHeight="1">
      <c r="A900" s="8"/>
      <c r="B900" s="9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31.5" customHeight="1">
      <c r="A901" s="8"/>
      <c r="B901" s="9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31.5" customHeight="1">
      <c r="A902" s="8"/>
      <c r="B902" s="9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31.5" customHeight="1">
      <c r="A903" s="8"/>
      <c r="B903" s="9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31.5" customHeight="1">
      <c r="A904" s="8"/>
      <c r="B904" s="9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31.5" customHeight="1">
      <c r="A905" s="8"/>
      <c r="B905" s="9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31.5" customHeight="1">
      <c r="A906" s="8"/>
      <c r="B906" s="9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31.5" customHeight="1">
      <c r="A907" s="8"/>
      <c r="B907" s="9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31.5" customHeight="1">
      <c r="A908" s="8"/>
      <c r="B908" s="9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31.5" customHeight="1">
      <c r="A909" s="8"/>
      <c r="B909" s="9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31.5" customHeight="1">
      <c r="A910" s="8"/>
      <c r="B910" s="9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31.5" customHeight="1">
      <c r="A911" s="8"/>
      <c r="B911" s="9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31.5" customHeight="1">
      <c r="A912" s="8"/>
      <c r="B912" s="9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31.5" customHeight="1">
      <c r="A913" s="8"/>
      <c r="B913" s="9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31.5" customHeight="1">
      <c r="A914" s="8"/>
      <c r="B914" s="9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31.5" customHeight="1">
      <c r="A915" s="8"/>
      <c r="B915" s="9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31.5" customHeight="1">
      <c r="A916" s="8"/>
      <c r="B916" s="9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31.5" customHeight="1">
      <c r="A917" s="8"/>
      <c r="B917" s="9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31.5" customHeight="1">
      <c r="A918" s="8"/>
      <c r="B918" s="9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31.5" customHeight="1">
      <c r="A919" s="8"/>
      <c r="B919" s="9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31.5" customHeight="1">
      <c r="A920" s="8"/>
      <c r="B920" s="9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31.5" customHeight="1">
      <c r="A921" s="8"/>
      <c r="B921" s="9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31.5" customHeight="1">
      <c r="A922" s="8"/>
      <c r="B922" s="9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31.5" customHeight="1">
      <c r="A923" s="8"/>
      <c r="B923" s="9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31.5" customHeight="1">
      <c r="A924" s="8"/>
      <c r="B924" s="9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31.5" customHeight="1">
      <c r="A925" s="8"/>
      <c r="B925" s="9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31.5" customHeight="1">
      <c r="A926" s="8"/>
      <c r="B926" s="9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31.5" customHeight="1">
      <c r="A927" s="8"/>
      <c r="B927" s="9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31.5" customHeight="1">
      <c r="A928" s="8"/>
      <c r="B928" s="9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31.5" customHeight="1">
      <c r="A929" s="8"/>
      <c r="B929" s="9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31.5" customHeight="1">
      <c r="A930" s="8"/>
      <c r="B930" s="9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31.5" customHeight="1">
      <c r="A931" s="8"/>
      <c r="B931" s="9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31.5" customHeight="1">
      <c r="A932" s="8"/>
      <c r="B932" s="9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31.5" customHeight="1">
      <c r="A933" s="8"/>
      <c r="B933" s="9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31.5" customHeight="1">
      <c r="A934" s="8"/>
      <c r="B934" s="9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31.5" customHeight="1">
      <c r="A935" s="8"/>
      <c r="B935" s="9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31.5" customHeight="1">
      <c r="A936" s="8"/>
      <c r="B936" s="9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31.5" customHeight="1">
      <c r="A937" s="8"/>
      <c r="B937" s="9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31.5" customHeight="1">
      <c r="A938" s="8"/>
      <c r="B938" s="9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31.5" customHeight="1">
      <c r="A939" s="8"/>
      <c r="B939" s="9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31.5" customHeight="1">
      <c r="A940" s="8"/>
      <c r="B940" s="9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31.5" customHeight="1">
      <c r="A941" s="8"/>
      <c r="B941" s="9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31.5" customHeight="1">
      <c r="A942" s="8"/>
      <c r="B942" s="9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31.5" customHeight="1">
      <c r="A943" s="8"/>
      <c r="B943" s="9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31.5" customHeight="1">
      <c r="A944" s="8"/>
      <c r="B944" s="9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31.5" customHeight="1">
      <c r="A945" s="8"/>
      <c r="B945" s="9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31.5" customHeight="1">
      <c r="A946" s="8"/>
      <c r="B946" s="9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31.5" customHeight="1">
      <c r="A947" s="8"/>
      <c r="B947" s="9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31.5" customHeight="1">
      <c r="A948" s="8"/>
      <c r="B948" s="9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31.5" customHeight="1">
      <c r="A949" s="8"/>
      <c r="B949" s="9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31.5" customHeight="1">
      <c r="A950" s="8"/>
      <c r="B950" s="9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31.5" customHeight="1">
      <c r="A951" s="8"/>
      <c r="B951" s="9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31.5" customHeight="1">
      <c r="A952" s="8"/>
      <c r="B952" s="9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31.5" customHeight="1">
      <c r="A953" s="8"/>
      <c r="B953" s="9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31.5" customHeight="1">
      <c r="A954" s="8"/>
      <c r="B954" s="9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31.5" customHeight="1">
      <c r="A955" s="8"/>
      <c r="B955" s="9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31.5" customHeight="1">
      <c r="A956" s="8"/>
      <c r="B956" s="9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31.5" customHeight="1">
      <c r="A957" s="8"/>
      <c r="B957" s="9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31.5" customHeight="1">
      <c r="A958" s="8"/>
      <c r="B958" s="9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31.5" customHeight="1">
      <c r="A959" s="8"/>
      <c r="B959" s="9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31.5" customHeight="1">
      <c r="A960" s="8"/>
      <c r="B960" s="9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31.5" customHeight="1">
      <c r="A961" s="8"/>
      <c r="B961" s="9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31.5" customHeight="1">
      <c r="A962" s="8"/>
      <c r="B962" s="9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31.5" customHeight="1">
      <c r="A963" s="8"/>
      <c r="B963" s="9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31.5" customHeight="1">
      <c r="A964" s="8"/>
      <c r="B964" s="9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31.5" customHeight="1">
      <c r="A965" s="8"/>
      <c r="B965" s="9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31.5" customHeight="1">
      <c r="A966" s="8"/>
      <c r="B966" s="9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31.5" customHeight="1">
      <c r="A967" s="8"/>
      <c r="B967" s="9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31.5" customHeight="1">
      <c r="A968" s="8"/>
      <c r="B968" s="9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31.5" customHeight="1">
      <c r="A969" s="8"/>
      <c r="B969" s="9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31.5" customHeight="1">
      <c r="A970" s="8"/>
      <c r="B970" s="9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31.5" customHeight="1">
      <c r="A971" s="8"/>
      <c r="B971" s="9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31.5" customHeight="1">
      <c r="A972" s="8"/>
      <c r="B972" s="9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31.5" customHeight="1">
      <c r="A973" s="8"/>
      <c r="B973" s="9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31.5" customHeight="1">
      <c r="A974" s="8"/>
      <c r="B974" s="9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31.5" customHeight="1">
      <c r="A975" s="8"/>
      <c r="B975" s="9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31.5" customHeight="1">
      <c r="A976" s="8"/>
      <c r="B976" s="9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31.5" customHeight="1">
      <c r="A977" s="8"/>
      <c r="B977" s="9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31.5" customHeight="1">
      <c r="A978" s="8"/>
      <c r="B978" s="9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31.5" customHeight="1">
      <c r="A979" s="8"/>
      <c r="B979" s="9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31.5" customHeight="1">
      <c r="A980" s="8"/>
      <c r="B980" s="9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31.5" customHeight="1">
      <c r="A981" s="8"/>
      <c r="B981" s="9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31.5" customHeight="1">
      <c r="A982" s="8"/>
      <c r="B982" s="9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31.5" customHeight="1">
      <c r="A983" s="8"/>
      <c r="B983" s="9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31.5" customHeight="1">
      <c r="A984" s="8"/>
      <c r="B984" s="9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31.5" customHeight="1">
      <c r="A985" s="8"/>
      <c r="B985" s="9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31.5" customHeight="1">
      <c r="A986" s="8"/>
      <c r="B986" s="9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31.5" customHeight="1">
      <c r="A987" s="8"/>
      <c r="B987" s="9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31.5" customHeight="1">
      <c r="A988" s="8"/>
      <c r="B988" s="9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31.5" customHeight="1">
      <c r="A989" s="8"/>
      <c r="B989" s="9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31.5" customHeight="1">
      <c r="A990" s="8"/>
      <c r="B990" s="9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31.5" customHeight="1">
      <c r="A991" s="8"/>
      <c r="B991" s="9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31.5" customHeight="1">
      <c r="A992" s="8"/>
      <c r="B992" s="9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31.5" customHeight="1">
      <c r="A993" s="8"/>
      <c r="B993" s="9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31.5" customHeight="1">
      <c r="A994" s="8"/>
      <c r="B994" s="9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31.5" customHeight="1">
      <c r="A995" s="8"/>
      <c r="B995" s="9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31.5" customHeight="1">
      <c r="A996" s="8"/>
      <c r="B996" s="9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31.5" customHeight="1">
      <c r="A997" s="8"/>
      <c r="B997" s="9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31.5" customHeight="1">
      <c r="A998" s="8"/>
      <c r="B998" s="9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31.5" customHeight="1">
      <c r="A999" s="8"/>
      <c r="B999" s="9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31.5" customHeight="1">
      <c r="A1000" s="8"/>
      <c r="B1000" s="9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2026-01-24T13:46:28Z</dcterms:created>
  <dc:creator>Rodrigo Gomes</dc:creator>
</cp:coreProperties>
</file>