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oneamento Curitiba" sheetId="1" r:id="rId4"/>
    <sheet state="visible" name="Planilha1" sheetId="2" r:id="rId5"/>
  </sheets>
  <definedNames>
    <definedName hidden="1" localSheetId="0" name="_xlnm._FilterDatabase">'Zoneamento Curitiba'!$A$1:$R$145</definedName>
    <definedName hidden="1" localSheetId="1" name="_xlnm._FilterDatabase">Planilha1!$D$1:$D$37</definedName>
  </definedNames>
  <calcPr/>
  <extLst>
    <ext uri="GoogleSheetsCustomDataVersion2">
      <go:sheetsCustomData xmlns:go="http://customooxmlschemas.google.com/" r:id="rId6" roundtripDataChecksum="dR49z16sSAeAnJIif+1yA7bmlWd41VIiAMLn02ZRwuc="/>
    </ext>
  </extLst>
</workbook>
</file>

<file path=xl/sharedStrings.xml><?xml version="1.0" encoding="utf-8"?>
<sst xmlns="http://schemas.openxmlformats.org/spreadsheetml/2006/main" count="1666" uniqueCount="329">
  <si>
    <t>Nome da Zona</t>
  </si>
  <si>
    <t>Sigla</t>
  </si>
  <si>
    <t>Sigla_gis</t>
  </si>
  <si>
    <t>Tipo de Uso</t>
  </si>
  <si>
    <t>Usos</t>
  </si>
  <si>
    <t>Permissibilidade</t>
  </si>
  <si>
    <t>Coef. Aproveitamento Básico</t>
  </si>
  <si>
    <t>Coef. Aproveitamento Permissível</t>
  </si>
  <si>
    <t>Altura Básica (pav)</t>
  </si>
  <si>
    <t>Altura Permissível (pav)</t>
  </si>
  <si>
    <t>Porte Básico (m²)</t>
  </si>
  <si>
    <t>Porte Permissível (m²)</t>
  </si>
  <si>
    <t>Taxa de Ocupação (%)</t>
  </si>
  <si>
    <t>Recuo (m)</t>
  </si>
  <si>
    <t>Taxa Permeabilidade (%)</t>
  </si>
  <si>
    <t>Afastamento Divisa (m)</t>
  </si>
  <si>
    <t>Lote Padrão (m²)</t>
  </si>
  <si>
    <t>Observações</t>
  </si>
  <si>
    <t>Setor das Vias Setoriais 1</t>
  </si>
  <si>
    <t>SVS-1</t>
  </si>
  <si>
    <t>Habitacional</t>
  </si>
  <si>
    <t>Habitações Unifamiliares, Habitação Coletiva, Habitações Unifamiliares em série, Habitação Institucional, Habitação Transitória 1</t>
  </si>
  <si>
    <t>Permitido</t>
  </si>
  <si>
    <t>1</t>
  </si>
  <si>
    <t>Hab. unif. em série: somente transversais ao alinhamento</t>
  </si>
  <si>
    <t>Não Habitacional</t>
  </si>
  <si>
    <t>Posto de Abastecimento</t>
  </si>
  <si>
    <t>Atendida regulamentação específica</t>
  </si>
  <si>
    <t>Estacionamento Comercial, Edifício Garagem</t>
  </si>
  <si>
    <t>Obrigatório comércio/serviço no térreo, min 50% testada</t>
  </si>
  <si>
    <t>Comunitário 1 e 2</t>
  </si>
  <si>
    <t>2.000,00</t>
  </si>
  <si>
    <t>10.000,00</t>
  </si>
  <si>
    <t>Atendido coef e porte - primeiro atingido</t>
  </si>
  <si>
    <t>Comunitário 3</t>
  </si>
  <si>
    <t>Permissível</t>
  </si>
  <si>
    <t>Somente permissível</t>
  </si>
  <si>
    <t>Comércio e Serviço Vicinal, de Bairro e Setorial</t>
  </si>
  <si>
    <t>5.000,00</t>
  </si>
  <si>
    <t>Acima de 5.000,00</t>
  </si>
  <si>
    <t>Indústria tipo 1</t>
  </si>
  <si>
    <t>200,00</t>
  </si>
  <si>
    <t>400,00</t>
  </si>
  <si>
    <t>Admitido alvará em edificação existente</t>
  </si>
  <si>
    <t>Setor das Vias Setoriais 2</t>
  </si>
  <si>
    <t>SVS-2</t>
  </si>
  <si>
    <t>Habitações Unifamiliares, Habitação Coletiva, Habitação Institucional, Habitações Unifamiliares em série, Habitação Transitória 1</t>
  </si>
  <si>
    <t>2</t>
  </si>
  <si>
    <t>50</t>
  </si>
  <si>
    <t>5</t>
  </si>
  <si>
    <t>25</t>
  </si>
  <si>
    <t>Hab. unif. em série: somente transversais</t>
  </si>
  <si>
    <t>Comunitário 1</t>
  </si>
  <si>
    <t>Comunitário 2 e 3 exceto Ensino</t>
  </si>
  <si>
    <t>Indústria Tipo 1</t>
  </si>
  <si>
    <t>Setor das Vias Coletoras 1</t>
  </si>
  <si>
    <t>SVC-1</t>
  </si>
  <si>
    <t>Comunitário 1, Comunitário 2 - Culto religioso</t>
  </si>
  <si>
    <t>Comunitário 2 (exceto culto) e 3</t>
  </si>
  <si>
    <t>400</t>
  </si>
  <si>
    <t>Setor das Vias Coletoras 2</t>
  </si>
  <si>
    <t>SVC-2</t>
  </si>
  <si>
    <t>1.000,00</t>
  </si>
  <si>
    <t>Setor das Vias Prioritárias</t>
  </si>
  <si>
    <t>SVP</t>
  </si>
  <si>
    <t>Habitações Unifamiliares</t>
  </si>
  <si>
    <t>Até 3 habitações unifamiliares por lote</t>
  </si>
  <si>
    <t>Habitações Unifamiliares em série</t>
  </si>
  <si>
    <t>Somente transversais ao alinhamento predial</t>
  </si>
  <si>
    <t>Habitação Coletiva, Habitação Transitória 1</t>
  </si>
  <si>
    <t>Apart-hotel sem centro de convenções</t>
  </si>
  <si>
    <t>Proibido em esquinas VP x VP e VP x Via Externa EE</t>
  </si>
  <si>
    <t>Estacionamento Comercial</t>
  </si>
  <si>
    <t>Obrigatório comércio/serviço vicinal/bairro no térreo, min 50% testada</t>
  </si>
  <si>
    <t>Comércio e Serviço Vicinal e de Bairro</t>
  </si>
  <si>
    <t>200</t>
  </si>
  <si>
    <t>Permitido alvará até 200m² em edif. existente sem estacionamento. Acima: consultar CMU</t>
  </si>
  <si>
    <t>Zona Central</t>
  </si>
  <si>
    <t>ZC</t>
  </si>
  <si>
    <t>Habitação Unifamiliar</t>
  </si>
  <si>
    <t>11x330</t>
  </si>
  <si>
    <t>Uma habitação unifamiliar por lote</t>
  </si>
  <si>
    <t>Habitação Coletiva, Habitação Institucional, Habitação Transitória 1, Empreendimento inclusivo de habitação de interesse social</t>
  </si>
  <si>
    <t>livre</t>
  </si>
  <si>
    <t>Subsolo, térreo e 2º pav = 100%; demais pav = 66%</t>
  </si>
  <si>
    <t>Alinhamento predial</t>
  </si>
  <si>
    <t>Obrigatório mecanismo contenção cheias</t>
  </si>
  <si>
    <t>Proibido balanço sobre passeio, permitido marquise max 1,20m</t>
  </si>
  <si>
    <t>Comunitário 2 - Lazer, Cultura e Culto Religioso, Comércio e Serviço Vicinal, de Bairro e Setorial, Edifício Garagem</t>
  </si>
  <si>
    <t>4</t>
  </si>
  <si>
    <t>Edifício Garagem: CA mínimo 1,5</t>
  </si>
  <si>
    <t>Comunitário 2 - Ensino, Comunitário 3</t>
  </si>
  <si>
    <t>Indústria do Tipo 1</t>
  </si>
  <si>
    <t>A critério CMU até 400m²</t>
  </si>
  <si>
    <t>Zona Residencial 1</t>
  </si>
  <si>
    <t>ZR-1</t>
  </si>
  <si>
    <t>15x600</t>
  </si>
  <si>
    <t>Limite 1 habitação por fração de 300m²</t>
  </si>
  <si>
    <t>Habitação Unifamiliar em Série</t>
  </si>
  <si>
    <t>Somente terrenos &lt;20.000m², fração mín 300m² por unidade</t>
  </si>
  <si>
    <t>Comércio e Serviço Vicinal</t>
  </si>
  <si>
    <t>100</t>
  </si>
  <si>
    <t>Somente alvará em edificação existente</t>
  </si>
  <si>
    <t>Somente alvará em edificação existente, vinculada ao uso habitacional</t>
  </si>
  <si>
    <t>Zona Residencial 2</t>
  </si>
  <si>
    <t>ZR-2</t>
  </si>
  <si>
    <t>12x360</t>
  </si>
  <si>
    <t>Fração mín 120m² por unidade</t>
  </si>
  <si>
    <t>Habitação Unifamiliar em Série, Habitação Institucional, Empreendimento inclusivo de habitação de interesse social</t>
  </si>
  <si>
    <t>Hab. série: somente lotes &lt;20.000m²</t>
  </si>
  <si>
    <t>A critério CMU até 400m² em edif. existente</t>
  </si>
  <si>
    <t>Comunitário 2 - Culto Religioso</t>
  </si>
  <si>
    <t>Zona Residencial 3</t>
  </si>
  <si>
    <t>ZR-3</t>
  </si>
  <si>
    <t>Fração mín 120m² por unidade. Taxa até 60% para lote &lt;padrão, só 1 unif.</t>
  </si>
  <si>
    <t>Habitação Unifamiliar em Série, Habitação Coletiva, Habitação Institucional, Habitação Transitória 1, Empreendimento inclusivo de habitação de interesse social</t>
  </si>
  <si>
    <t>3</t>
  </si>
  <si>
    <t>Até 3 pav: facultado. &gt;3 pav: H/6 do térreo, mín 2,5m</t>
  </si>
  <si>
    <t>Hab. série: somente lotes &lt;20.000m². Hab. Transitória: Apart-hotel s/ centro conv.</t>
  </si>
  <si>
    <t>Comunitário 2 - Saúde, Comércio e Serviço Vicinal e de Bairro</t>
  </si>
  <si>
    <t>Zona Residencial 3 Transição</t>
  </si>
  <si>
    <t>ZR3-T</t>
  </si>
  <si>
    <t>Habitações Unifamiliares, Habitação Coletiva, Habitação Institucional, Habitação Transitória 1</t>
  </si>
  <si>
    <t>Até 2 pav: facultado. &gt;2 pav: H/6 do térreo, mín 2,5m</t>
  </si>
  <si>
    <t>15x450</t>
  </si>
  <si>
    <t>Testada p/ vias externas EE e ENC até 100m prof.</t>
  </si>
  <si>
    <t>Comunitário 1 e 2, Edifício de escritórios e Sede Administrativa, Comércio e Serviço Vicinal e de Bairro</t>
  </si>
  <si>
    <t>Comunitário 2 - Culto Religioso e Saúde, Comunitário 2 - Ensino</t>
  </si>
  <si>
    <t>Zona Residencial 4</t>
  </si>
  <si>
    <t>ZR-4</t>
  </si>
  <si>
    <t>Habitações Unifamiliares, Habitação Unifamiliar em Série</t>
  </si>
  <si>
    <t>Habitação Coletiva, Habitação Institucional, Habitação Transitória 1</t>
  </si>
  <si>
    <t>6</t>
  </si>
  <si>
    <t>Até 2 pav: facultado. &gt;2 pav: H/6, mín 2,5m</t>
  </si>
  <si>
    <t>Hab. série: &lt;20.000m². Hab. Trans.: s/ centro conv.</t>
  </si>
  <si>
    <t>Comunitário 1, Comunitário 2 - Saúde, Comércio e Serviço Vicinal e de Bairro</t>
  </si>
  <si>
    <t>Comunitário 2 - Culto Religioso, Sede Administrativa</t>
  </si>
  <si>
    <t>Zona de Uso Misto 1</t>
  </si>
  <si>
    <t>ZUM-1</t>
  </si>
  <si>
    <t>Habitação Unifamiliar, Habitação Unifamiliar em série, Habitação Coletiva, Habitação Institucional, Habitação Transitória 1</t>
  </si>
  <si>
    <t>1 hab. unif. por lote. Conj. hab.: &lt;20.000m²</t>
  </si>
  <si>
    <t>Comunitário 1 e 2, Comunitário 3, Comércio e Serviço Vicinal, de Bairro e Setorial, Posto de Abastecimento</t>
  </si>
  <si>
    <t>Zona de Uso Misto 2</t>
  </si>
  <si>
    <t>ZUM-2</t>
  </si>
  <si>
    <t>Habitações Unifamiliares, Habitações unifamiliares em série, Habitação Coletiva, Habitação Institucional, Habitação Transitória 1</t>
  </si>
  <si>
    <t>Até 3 hab. unif. por lote. Conj. hab.: &lt;20.000m²</t>
  </si>
  <si>
    <t>Comunitário 1 e 2, Comunitário 3, Comércio e Serviço Vicinal, de Bairro e Setorial, Estacionamento comercial e edifício garagem, Comunitário 2 - Culto Religioso, Posto de abastecimento</t>
  </si>
  <si>
    <t>Zona de Uso Misto 3</t>
  </si>
  <si>
    <t>ZUM-3</t>
  </si>
  <si>
    <t>Comunitário 1 e 2, Comunitário 3, Comércio e Serviço Vicinal, de Bairro e Setorial, Estacionamento comercial e edifício garagem, Posto de abastecimento</t>
  </si>
  <si>
    <t>Zona Educacional</t>
  </si>
  <si>
    <t>ZE</t>
  </si>
  <si>
    <t>0,5</t>
  </si>
  <si>
    <t>30</t>
  </si>
  <si>
    <t>10</t>
  </si>
  <si>
    <t>20x600</t>
  </si>
  <si>
    <t>1 hab. unif. por lote</t>
  </si>
  <si>
    <t>A critério CMU até &gt;4 pav conforme plano ocupação</t>
  </si>
  <si>
    <t>Comunitário 1 e 2, Comunitário 3 - Ensino, Usos vinculados às atividades de Ensino, Serviços Públicos</t>
  </si>
  <si>
    <t>Zona Industrial</t>
  </si>
  <si>
    <t>ZI</t>
  </si>
  <si>
    <t>0,6</t>
  </si>
  <si>
    <t>15</t>
  </si>
  <si>
    <t>2,5</t>
  </si>
  <si>
    <t>Indústria</t>
  </si>
  <si>
    <t>Mín 3m c/ 7m para testada &gt;50m</t>
  </si>
  <si>
    <t>Admitidas atividades complementares vinculadas ao uso industrial</t>
  </si>
  <si>
    <t>Comércio e Serviço Setorial e Geral</t>
  </si>
  <si>
    <t>Mín 5m para testada &gt;50m</t>
  </si>
  <si>
    <t>Eixo de Adensamento Comendador Franco</t>
  </si>
  <si>
    <t>EACF</t>
  </si>
  <si>
    <t>Habitação Unifamiliar, Habitação Coletiva, Habitação Institucional, Habitação Transitória 1, Empreendimento Inclusivo de Habitação de Interesse Social</t>
  </si>
  <si>
    <t>1 hab. unif. para Av. Comendador Franco; demais vias: até 3 hab. unif. Obrig. via local 80m ou metade quadra</t>
  </si>
  <si>
    <t>Eixo Estrutural - Via Central</t>
  </si>
  <si>
    <t>EE-VC</t>
  </si>
  <si>
    <t>1 hab. unif. por lote. Sem Plano Massa: CA=1, H=2</t>
  </si>
  <si>
    <t>Embasamento=3; Bloco vertical=livre</t>
  </si>
  <si>
    <t>Térreo e 2º pav = 100%; demais pav = 50%</t>
  </si>
  <si>
    <t>Embasamento: alinhamento; Bloco vertical: 15m</t>
  </si>
  <si>
    <t>Para embasamento; Bloco vertical: H/6 do térreo, mín 2,5m</t>
  </si>
  <si>
    <t>CA limitado a 3 entre Funcionários-Gardolinski (EE Norte) e Kennedy-Churchill (EE Sul) para uso exclusivamente hab.</t>
  </si>
  <si>
    <t>Eixo Nova Curitiba - Via Central e Outras Vias</t>
  </si>
  <si>
    <t>ENC</t>
  </si>
  <si>
    <t>Subsolo: 60%; Térreo e demais pav: 50%</t>
  </si>
  <si>
    <t>Hab. Coletiva: CA adicional 1,0 se dens≥200hab/ha</t>
  </si>
  <si>
    <t>Eixo Marechal Floriano Peixoto</t>
  </si>
  <si>
    <t>EMF</t>
  </si>
  <si>
    <t>Habitação Unifamiliar, Habitação Coletiva, Habitação Institucional, Habitação Transitória 1, Empreendimento inclusivo de habitação de interesse social</t>
  </si>
  <si>
    <t>Subsolo, térreo e 2º pav: 75%; Demais pav: 50%</t>
  </si>
  <si>
    <t>Setor Preferencial de Pedestres - XV e Central</t>
  </si>
  <si>
    <t>SEPE-C</t>
  </si>
  <si>
    <t>Habitação Unifamiliar, Habitação Coletiva, Habitação institucional, Habitação Transitória 1</t>
  </si>
  <si>
    <t>3,6</t>
  </si>
  <si>
    <t>Térreo e 2º pav = 100%; demais pav = 66%</t>
  </si>
  <si>
    <t>1 hab. unif. por lote. Setor Central até 15m profundidade: H=5 pav</t>
  </si>
  <si>
    <t>Setor Habitacional de Interesse Social</t>
  </si>
  <si>
    <t>SEHIS</t>
  </si>
  <si>
    <t>Habitação Unifamiliar, Habitações Unifamiliares em série, Habitação Coletiva, Habitação Institucional, Empreendimento inclusivo de habitação de interesse social</t>
  </si>
  <si>
    <t>1,0</t>
  </si>
  <si>
    <t>Análise a critério do CMU</t>
  </si>
  <si>
    <t>Comunitário 1 e 2, Comunitário 3, Comércio e Serviço Vicinal e de Bairro</t>
  </si>
  <si>
    <t>Zona Residencial de Ocupação Controlada 1</t>
  </si>
  <si>
    <t>ZROC-1</t>
  </si>
  <si>
    <t>Habitações Unifamiliares, Habitações Unifamiliares em série, Habitação Coletiva, Habitação Institucional</t>
  </si>
  <si>
    <t>Atendidas condições art. 48. Hab. série: lotes &lt;20.000m²</t>
  </si>
  <si>
    <t>Habitações Unifamiliares, Habitações Unifamiliares em série, Habitação Institucional, Habitação Transitória 1</t>
  </si>
  <si>
    <t>0,4</t>
  </si>
  <si>
    <t>20x2000</t>
  </si>
  <si>
    <t>Densidade máx 5 hab/ha</t>
  </si>
  <si>
    <t>Comunitário 1, Comércio e Serviço Vicinal e de Bairro</t>
  </si>
  <si>
    <t>Zona Residencial de Ocupação Integrada</t>
  </si>
  <si>
    <t>ZROI</t>
  </si>
  <si>
    <t>Habitações Unifamiliares, Habitação Coletiva, Habitações Unifamiliares em série, Habitação Institucional</t>
  </si>
  <si>
    <t>Até 3 habitações unif. por lote. Conj. hab.: &lt;20.000m²</t>
  </si>
  <si>
    <t>Zona Saldanha Marinho</t>
  </si>
  <si>
    <t>ZSM</t>
  </si>
  <si>
    <t>Habitação Unifamiliar, Habitação Coletiva, Habitação Institucional, Habitação Transitória 1</t>
  </si>
  <si>
    <t>Térreo e 2º pav = 100%; Demais pav = 50%</t>
  </si>
  <si>
    <t>Facultado subsolo, térreo e 2º pav. &gt;2º pav: 5m</t>
  </si>
  <si>
    <t>Comunitário 1 e 2, Comunitário 3 - Saúde e Ensino, Supermercado e Centro Comercial, Comércio e Serviço Vicinal e de Bairro e Setorial, Edifício Garagem e Estacionamento Comercial</t>
  </si>
  <si>
    <t>Zona São Francisco</t>
  </si>
  <si>
    <t>ZFR</t>
  </si>
  <si>
    <t>Comunitário 1, Comunitário 2 - Lazer, Cultura, Comunitário 2 e 3 - Ensino, Comunitário 2 - Culto Religioso, Comércio e Serviço Vicinal, de Bairro e Setorial, Supermercados e Centros Comerciais, Estacionamento Comercial e Edifício Garagem</t>
  </si>
  <si>
    <t>Zona Militar</t>
  </si>
  <si>
    <t>ZM</t>
  </si>
  <si>
    <t>Habitações Unifamiliares, Habitação Coletiva</t>
  </si>
  <si>
    <t>Habitação Coletiva</t>
  </si>
  <si>
    <t>Usos vinculados às atividades militares</t>
  </si>
  <si>
    <t>Zona Histórica 1</t>
  </si>
  <si>
    <t>ZH-1</t>
  </si>
  <si>
    <t>2,6</t>
  </si>
  <si>
    <t>Obrigatório alinhamento predial</t>
  </si>
  <si>
    <t>1 hab. unif. por lote. Ouvir IPPUC e CAPC</t>
  </si>
  <si>
    <t>Comunitário 1, Comunitário 2 - Lazer, Cultura e Culto Religioso, Comunitário 2 e 3 - Ensino, Comércio e Serviço Vicinal, de Bairro e Setorial</t>
  </si>
  <si>
    <t>Zona Histórica 2</t>
  </si>
  <si>
    <t>ZH-2</t>
  </si>
  <si>
    <t>Facultado p/ &gt;70% quadra alinhada</t>
  </si>
  <si>
    <t>Zona Centro Cívico - Via Cândido de Abreu</t>
  </si>
  <si>
    <t>ZCC-CA</t>
  </si>
  <si>
    <t>Subsolo, térreo e 2º pav = 100%; demais pav = 50%</t>
  </si>
  <si>
    <t>Até 4 pav: facultado. &gt;4 pav: H/6 do térreo, mín 3m</t>
  </si>
  <si>
    <t>1 hab. unif. por lote. Ouvir órgão tombamento</t>
  </si>
  <si>
    <t>Comunitário 1 e 2, Comunitário 3, Comércio e Serviço Vicinal, de Bairro e Setorial, Edifícios de Uso Público</t>
  </si>
  <si>
    <t>Zona Centro Cívico - Demais Vias</t>
  </si>
  <si>
    <t>ZCC</t>
  </si>
  <si>
    <t>Comunitário 1, Comunitário 2 - Saúde, Comércio e Serviço Vicinal, de Bairro e Setorial, Comunitário 2 - Culto Religioso, Edifício Garagem</t>
  </si>
  <si>
    <t>Zona Comercial Santa Felicidade / Zona Comercial Umbará</t>
  </si>
  <si>
    <t>ZCSF/ZCUM</t>
  </si>
  <si>
    <t>Habitações Unifamiliares, Habitação Coletiva, Habitação Institucional, Habitação transitória 1</t>
  </si>
  <si>
    <t>Até 3 hab. unif. por lote</t>
  </si>
  <si>
    <t>Comunitário 1, Comunitário 2, Comunitário 3, Comércio e Serviço Vicinal, de Bairro e Setorial</t>
  </si>
  <si>
    <t>Zona de Serviço 1</t>
  </si>
  <si>
    <t>ZS-1</t>
  </si>
  <si>
    <t>Habitações Unifamiliares, Habitação Transitória 1, Habitação Transitória 2</t>
  </si>
  <si>
    <t>Comunitário 2 - Lazer, Cultura e Casa de Culto, Comunitário 2 Saúde e Ensino, Comércio e Serviço Vicinal, de Bairro e Setorial, Comércio e Serviço Geral, Posto de Abastecimento, Cemitério, Indústria Tipo 1, Indústria Tipo 2</t>
  </si>
  <si>
    <t>Zona de Serviço 2</t>
  </si>
  <si>
    <t>ZS-2</t>
  </si>
  <si>
    <t>Comunitário 2 - Lazer, Cultura e Casa de Culto, Comunitário 3, Comércio e Serviço Vicinal, de Bairro e Setorial, Comércio e Serviço Geral, Posto de Abastecimento, Condomínio de Indústrias Tipo 1 e 2, Cemitério, Indústria Tipo 1 e 2, Indústria Tipo 3</t>
  </si>
  <si>
    <t>Zona Polo de Software</t>
  </si>
  <si>
    <t>ZPS</t>
  </si>
  <si>
    <t>Comércio, Serviço e Indústria de Tecnologia da Informação e Comunicação, Atividades complementares</t>
  </si>
  <si>
    <t>Eixo de Adensamento Engenheiro Costa Barros</t>
  </si>
  <si>
    <t>EACB</t>
  </si>
  <si>
    <t>Eixos Conectores Oeste 1, 2, 3 e 4</t>
  </si>
  <si>
    <t>ECO-1/2/3/4</t>
  </si>
  <si>
    <t>Habitação Unifamiliar, Habitação Unifamiliar em série, Habitação Coletiva, Habitação Institucional, Habitação Transitória 1, Empreendimento Inclusivo de Habitação de Interesse Social</t>
  </si>
  <si>
    <t>1,5m. Trechos ZR-4: H=6 pav</t>
  </si>
  <si>
    <t>Até 3 hab. unif. por lote. Hab. série: somente transversais</t>
  </si>
  <si>
    <t>Eixos Conectores Leste 1, 2, 3</t>
  </si>
  <si>
    <t>ECL-1/2/3</t>
  </si>
  <si>
    <t>Habitação Unifamiliar, Habitação Coletiva, Habitação institucional, Habitação Transitória 1, Empreendimento Inclusivo de Habitação de Interesse Social</t>
  </si>
  <si>
    <t>1,5</t>
  </si>
  <si>
    <t>Eixos Conectores Sul 1 e 2</t>
  </si>
  <si>
    <t>ECS-1/2</t>
  </si>
  <si>
    <t>Habitação Unifamiliar, Habitações Unifamiliares em série, Habitação Coletiva, Habitação Institucional, Empreendimento Inclusivo de Habitação de Interesse Social</t>
  </si>
  <si>
    <t>60</t>
  </si>
  <si>
    <t>Até 3 hab. unif. por lote 360m². Hab. série: somente transversais. Altura máx 10m</t>
  </si>
  <si>
    <t>Somente vias setoriais e coletoras</t>
  </si>
  <si>
    <t>Eixo Estrutural - Vias Externas</t>
  </si>
  <si>
    <t>EE-VE</t>
  </si>
  <si>
    <t>Eixo Estrutural - Outras Vias</t>
  </si>
  <si>
    <t>EE-OV</t>
  </si>
  <si>
    <t>Eixo Nova Curitiba - Vias Externas</t>
  </si>
  <si>
    <t>ENC-VE</t>
  </si>
  <si>
    <t>Hab. Coletiva: CA adicional 1,0 se dens≥200hab/ha. Desde que implantada via local</t>
  </si>
  <si>
    <t>Eixo Presidente Affonso Camargo - Via Central</t>
  </si>
  <si>
    <t>EAC-VC</t>
  </si>
  <si>
    <t>Eixo Presidente Affonso Camargo - Outras Vias</t>
  </si>
  <si>
    <t>EAC-OV</t>
  </si>
  <si>
    <t>Polo da Linha Verde</t>
  </si>
  <si>
    <t>POLO-LV</t>
  </si>
  <si>
    <t>Habitação Coletiva, Habitação Institucional, Habitação Transitória 1 e 2</t>
  </si>
  <si>
    <t>Embasamento: 76%; Torre: 50%</t>
  </si>
  <si>
    <t>20x3000</t>
  </si>
  <si>
    <t>Comunitário 1 e 2, Comunitário 3 - Ensino, Comércio e Serviço Vicinal, de Bairro e Setorial, Comércio e Serviço Específico 1, Posto de Abastecimento</t>
  </si>
  <si>
    <t>Setor Especial da Linha Verde</t>
  </si>
  <si>
    <t>SE-LV</t>
  </si>
  <si>
    <t>50%</t>
  </si>
  <si>
    <t>Embasamento: alinhamento; Torre: 5m</t>
  </si>
  <si>
    <t>Zona de Transição da Linha Verde</t>
  </si>
  <si>
    <t>ZT-LV</t>
  </si>
  <si>
    <t>1 residência unifamiliar</t>
  </si>
  <si>
    <t>Zona de Uso Misto do Vale do Pinhão</t>
  </si>
  <si>
    <t>ZUMVP</t>
  </si>
  <si>
    <t>Análise CMU conforme Plano de Ocupação</t>
  </si>
  <si>
    <t>Comunitário 1 e 2, Comércio Vicinal, de Bairro e Setorial, Serviço Vicinal, de Bairro e Setorial, Estacionamento comercial e edifício garagem, Comunitário 3 - Lazer e Ensino, Indústria</t>
  </si>
  <si>
    <t>Coef. cumulativos até CA=3</t>
  </si>
  <si>
    <t>SIGLA NO GIS</t>
  </si>
  <si>
    <t>SG_ZONA</t>
  </si>
  <si>
    <t>APA-IGUAÇU</t>
  </si>
  <si>
    <t>APA-PASSAÚNA</t>
  </si>
  <si>
    <t>EAC</t>
  </si>
  <si>
    <t>ZED-LV</t>
  </si>
  <si>
    <t>ZI-LV</t>
  </si>
  <si>
    <t>ECL-3</t>
  </si>
  <si>
    <t>ZS-2-LV</t>
  </si>
  <si>
    <t>ECS-1</t>
  </si>
  <si>
    <t>EE</t>
  </si>
  <si>
    <t>ZCSF</t>
  </si>
  <si>
    <t>ZR1</t>
  </si>
  <si>
    <t>ZR2</t>
  </si>
  <si>
    <t>ZR3</t>
  </si>
  <si>
    <t>ZR4</t>
  </si>
  <si>
    <t>ZROC</t>
  </si>
  <si>
    <t>ECO-1</t>
  </si>
  <si>
    <t>ECO-2</t>
  </si>
  <si>
    <t>ECO-3</t>
  </si>
  <si>
    <t>ECO-4</t>
  </si>
  <si>
    <t>ZCUM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</si>
</sst>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sz val="11.0"/>
      <color rgb="FFFFFFFF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366092"/>
        <bgColor rgb="FF36609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Font="1"/>
    <xf borderId="0" fillId="0" fontId="2" numFmtId="0" xfId="0" applyAlignment="1" applyFont="1">
      <alignment shrinkToFit="0" vertical="top" wrapText="1"/>
    </xf>
    <xf borderId="1" fillId="2" fontId="3" numFmtId="0" xfId="0" applyAlignment="1" applyBorder="1" applyFill="1" applyFont="1">
      <alignment horizontal="center" shrinkToFit="0" vertical="center" wrapText="1"/>
    </xf>
    <xf borderId="0" fillId="0" fontId="4" numFmtId="0" xfId="0" applyFont="1"/>
    <xf borderId="1" fillId="0" fontId="2" numFmtId="0" xfId="0" applyBorder="1" applyFont="1"/>
    <xf borderId="1" fillId="0" fontId="2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114300</xdr:colOff>
      <xdr:row>0</xdr:row>
      <xdr:rowOff>0</xdr:rowOff>
    </xdr:from>
    <xdr:ext cx="5029200" cy="100774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9.57"/>
    <col customWidth="1" min="2" max="3" width="11.43"/>
    <col customWidth="1" min="4" max="4" width="15.29"/>
    <col customWidth="1" min="5" max="5" width="205.29"/>
    <col customWidth="1" min="6" max="6" width="19.14"/>
    <col customWidth="1" min="7" max="8" width="19.29"/>
    <col customWidth="1" min="9" max="9" width="31.71"/>
    <col customWidth="1" min="10" max="10" width="14.71"/>
    <col customWidth="1" min="11" max="11" width="15.71"/>
    <col customWidth="1" min="12" max="12" width="19.86"/>
    <col customWidth="1" min="13" max="13" width="43.14"/>
    <col customWidth="1" min="14" max="14" width="41.29"/>
    <col customWidth="1" min="15" max="15" width="26.43"/>
    <col customWidth="1" min="16" max="16" width="50.43"/>
    <col customWidth="1" min="17" max="17" width="15.57"/>
    <col customWidth="1" min="18" max="18" width="96.71"/>
    <col customWidth="1" min="19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/>
      <c r="T1" s="2"/>
      <c r="U1" s="2"/>
      <c r="V1" s="2"/>
      <c r="W1" s="2"/>
      <c r="X1" s="2"/>
      <c r="Y1" s="2"/>
      <c r="Z1" s="2"/>
    </row>
    <row r="2" ht="14.25" customHeight="1">
      <c r="A2" s="3" t="s">
        <v>18</v>
      </c>
      <c r="B2" s="3" t="s">
        <v>19</v>
      </c>
      <c r="C2" s="3" t="str">
        <f t="array" ref="C2">IFERROR(IF(XLOOKUP(B2,Planilha1!$B:$B,Planilha1!$C:$C)=0,"",XLOOKUP(B2,Planilha1!$B:$B,Planilha1!$C:$C)),"")</f>
        <v/>
      </c>
      <c r="D2" s="3" t="s">
        <v>20</v>
      </c>
      <c r="E2" s="3" t="s">
        <v>21</v>
      </c>
      <c r="F2" s="3" t="s">
        <v>22</v>
      </c>
      <c r="G2" s="3" t="s">
        <v>23</v>
      </c>
      <c r="H2" s="3"/>
      <c r="I2" s="3"/>
      <c r="J2" s="3"/>
      <c r="K2" s="3"/>
      <c r="L2" s="3"/>
      <c r="M2" s="3"/>
      <c r="N2" s="3"/>
      <c r="O2" s="3"/>
      <c r="P2" s="3"/>
      <c r="Q2" s="3"/>
      <c r="R2" s="3" t="s">
        <v>24</v>
      </c>
      <c r="S2" s="2"/>
      <c r="T2" s="2"/>
      <c r="U2" s="2"/>
      <c r="V2" s="2"/>
      <c r="W2" s="2"/>
      <c r="X2" s="2"/>
      <c r="Y2" s="2"/>
      <c r="Z2" s="2"/>
    </row>
    <row r="3" ht="14.25" customHeight="1">
      <c r="A3" s="3" t="s">
        <v>18</v>
      </c>
      <c r="B3" s="3" t="s">
        <v>19</v>
      </c>
      <c r="C3" s="3" t="str">
        <f t="array" ref="C3">IFERROR(IF(XLOOKUP(B3,Planilha1!$B:$B,Planilha1!$C:$C)=0,"",XLOOKUP(B3,Planilha1!$B:$B,Planilha1!$C:$C)),"")</f>
        <v/>
      </c>
      <c r="D3" s="3" t="s">
        <v>25</v>
      </c>
      <c r="E3" s="3" t="s">
        <v>26</v>
      </c>
      <c r="F3" s="3" t="s">
        <v>22</v>
      </c>
      <c r="G3" s="3" t="s">
        <v>23</v>
      </c>
      <c r="H3" s="3"/>
      <c r="I3" s="3"/>
      <c r="J3" s="3"/>
      <c r="K3" s="3"/>
      <c r="L3" s="3"/>
      <c r="M3" s="3"/>
      <c r="N3" s="3"/>
      <c r="O3" s="3"/>
      <c r="P3" s="3"/>
      <c r="Q3" s="3"/>
      <c r="R3" s="3" t="s">
        <v>27</v>
      </c>
      <c r="S3" s="2"/>
      <c r="T3" s="2"/>
      <c r="U3" s="2"/>
      <c r="V3" s="2"/>
      <c r="W3" s="2"/>
      <c r="X3" s="2"/>
      <c r="Y3" s="2"/>
      <c r="Z3" s="2"/>
    </row>
    <row r="4" ht="14.25" customHeight="1">
      <c r="A4" s="3" t="s">
        <v>18</v>
      </c>
      <c r="B4" s="3" t="s">
        <v>19</v>
      </c>
      <c r="C4" s="3" t="str">
        <f t="array" ref="C4">IFERROR(IF(XLOOKUP(B4,Planilha1!$B:$B,Planilha1!$C:$C)=0,"",XLOOKUP(B4,Planilha1!$B:$B,Planilha1!$C:$C)),"")</f>
        <v/>
      </c>
      <c r="D4" s="3" t="s">
        <v>25</v>
      </c>
      <c r="E4" s="3" t="s">
        <v>28</v>
      </c>
      <c r="F4" s="3" t="s">
        <v>22</v>
      </c>
      <c r="G4" s="3" t="s">
        <v>23</v>
      </c>
      <c r="H4" s="3"/>
      <c r="I4" s="3"/>
      <c r="J4" s="3"/>
      <c r="K4" s="3"/>
      <c r="L4" s="3"/>
      <c r="M4" s="3"/>
      <c r="N4" s="3"/>
      <c r="O4" s="3"/>
      <c r="P4" s="3"/>
      <c r="Q4" s="3"/>
      <c r="R4" s="3" t="s">
        <v>29</v>
      </c>
      <c r="S4" s="2"/>
      <c r="T4" s="2"/>
      <c r="U4" s="2"/>
      <c r="V4" s="2"/>
      <c r="W4" s="2"/>
      <c r="X4" s="2"/>
      <c r="Y4" s="2"/>
      <c r="Z4" s="2"/>
    </row>
    <row r="5" ht="14.25" customHeight="1">
      <c r="A5" s="3" t="s">
        <v>18</v>
      </c>
      <c r="B5" s="3" t="s">
        <v>19</v>
      </c>
      <c r="C5" s="3" t="str">
        <f t="array" ref="C5">IFERROR(IF(XLOOKUP(B5,Planilha1!$B:$B,Planilha1!$C:$C)=0,"",XLOOKUP(B5,Planilha1!$B:$B,Planilha1!$C:$C)),"")</f>
        <v/>
      </c>
      <c r="D5" s="3" t="s">
        <v>25</v>
      </c>
      <c r="E5" s="3" t="s">
        <v>30</v>
      </c>
      <c r="F5" s="3" t="s">
        <v>22</v>
      </c>
      <c r="G5" s="3" t="s">
        <v>23</v>
      </c>
      <c r="H5" s="3"/>
      <c r="I5" s="3"/>
      <c r="J5" s="3"/>
      <c r="K5" s="3" t="s">
        <v>31</v>
      </c>
      <c r="L5" s="3" t="s">
        <v>32</v>
      </c>
      <c r="M5" s="3"/>
      <c r="N5" s="3"/>
      <c r="O5" s="3"/>
      <c r="P5" s="3"/>
      <c r="Q5" s="3"/>
      <c r="R5" s="3" t="s">
        <v>33</v>
      </c>
      <c r="S5" s="2"/>
      <c r="T5" s="2"/>
      <c r="U5" s="2"/>
      <c r="V5" s="2"/>
      <c r="W5" s="2"/>
      <c r="X5" s="2"/>
      <c r="Y5" s="2"/>
      <c r="Z5" s="2"/>
    </row>
    <row r="6" ht="14.25" customHeight="1">
      <c r="A6" s="3" t="s">
        <v>18</v>
      </c>
      <c r="B6" s="3" t="s">
        <v>19</v>
      </c>
      <c r="C6" s="3" t="str">
        <f t="array" ref="C6">IFERROR(IF(XLOOKUP(B6,Planilha1!$B:$B,Planilha1!$C:$C)=0,"",XLOOKUP(B6,Planilha1!$B:$B,Planilha1!$C:$C)),"")</f>
        <v/>
      </c>
      <c r="D6" s="3" t="s">
        <v>25</v>
      </c>
      <c r="E6" s="3" t="s">
        <v>34</v>
      </c>
      <c r="F6" s="3" t="s">
        <v>35</v>
      </c>
      <c r="G6" s="3"/>
      <c r="H6" s="3"/>
      <c r="I6" s="3"/>
      <c r="J6" s="3"/>
      <c r="K6" s="3"/>
      <c r="L6" s="3" t="s">
        <v>32</v>
      </c>
      <c r="M6" s="3"/>
      <c r="N6" s="3"/>
      <c r="O6" s="3"/>
      <c r="P6" s="3"/>
      <c r="Q6" s="3"/>
      <c r="R6" s="3" t="s">
        <v>36</v>
      </c>
      <c r="S6" s="2"/>
      <c r="T6" s="2"/>
      <c r="U6" s="2"/>
      <c r="V6" s="2"/>
      <c r="W6" s="2"/>
      <c r="X6" s="2"/>
      <c r="Y6" s="2"/>
      <c r="Z6" s="2"/>
    </row>
    <row r="7" ht="14.25" customHeight="1">
      <c r="A7" s="3" t="s">
        <v>18</v>
      </c>
      <c r="B7" s="3" t="s">
        <v>19</v>
      </c>
      <c r="C7" s="3" t="str">
        <f t="array" ref="C7">IFERROR(IF(XLOOKUP(B7,Planilha1!$B:$B,Planilha1!$C:$C)=0,"",XLOOKUP(B7,Planilha1!$B:$B,Planilha1!$C:$C)),"")</f>
        <v/>
      </c>
      <c r="D7" s="3" t="s">
        <v>25</v>
      </c>
      <c r="E7" s="3" t="s">
        <v>37</v>
      </c>
      <c r="F7" s="3" t="s">
        <v>22</v>
      </c>
      <c r="G7" s="3" t="s">
        <v>23</v>
      </c>
      <c r="H7" s="3"/>
      <c r="I7" s="3"/>
      <c r="J7" s="3"/>
      <c r="K7" s="3" t="s">
        <v>38</v>
      </c>
      <c r="L7" s="3" t="s">
        <v>39</v>
      </c>
      <c r="M7" s="3"/>
      <c r="N7" s="3"/>
      <c r="O7" s="3"/>
      <c r="P7" s="3"/>
      <c r="Q7" s="3"/>
      <c r="R7" s="3"/>
      <c r="S7" s="2"/>
      <c r="T7" s="2"/>
      <c r="U7" s="2"/>
      <c r="V7" s="2"/>
      <c r="W7" s="2"/>
      <c r="X7" s="2"/>
      <c r="Y7" s="2"/>
      <c r="Z7" s="2"/>
    </row>
    <row r="8" ht="14.25" customHeight="1">
      <c r="A8" s="3" t="s">
        <v>18</v>
      </c>
      <c r="B8" s="3" t="s">
        <v>19</v>
      </c>
      <c r="C8" s="3" t="str">
        <f t="array" ref="C8">IFERROR(IF(XLOOKUP(B8,Planilha1!$B:$B,Planilha1!$C:$C)=0,"",XLOOKUP(B8,Planilha1!$B:$B,Planilha1!$C:$C)),"")</f>
        <v/>
      </c>
      <c r="D8" s="3" t="s">
        <v>25</v>
      </c>
      <c r="E8" s="3" t="s">
        <v>40</v>
      </c>
      <c r="F8" s="3" t="s">
        <v>22</v>
      </c>
      <c r="G8" s="3"/>
      <c r="H8" s="3"/>
      <c r="I8" s="3"/>
      <c r="J8" s="3"/>
      <c r="K8" s="3" t="s">
        <v>41</v>
      </c>
      <c r="L8" s="3" t="s">
        <v>42</v>
      </c>
      <c r="M8" s="3"/>
      <c r="N8" s="3"/>
      <c r="O8" s="3"/>
      <c r="P8" s="3"/>
      <c r="Q8" s="3"/>
      <c r="R8" s="3" t="s">
        <v>43</v>
      </c>
      <c r="S8" s="2"/>
      <c r="T8" s="2"/>
      <c r="U8" s="2"/>
      <c r="V8" s="2"/>
      <c r="W8" s="2"/>
      <c r="X8" s="2"/>
      <c r="Y8" s="2"/>
      <c r="Z8" s="2"/>
    </row>
    <row r="9" ht="14.25" customHeight="1">
      <c r="A9" s="3" t="s">
        <v>44</v>
      </c>
      <c r="B9" s="3" t="s">
        <v>45</v>
      </c>
      <c r="C9" s="3" t="str">
        <f t="array" ref="C9">IFERROR(IF(XLOOKUP(B9,Planilha1!$B:$B,Planilha1!$C:$C)=0,"",XLOOKUP(B9,Planilha1!$B:$B,Planilha1!$C:$C)),"")</f>
        <v/>
      </c>
      <c r="D9" s="3" t="s">
        <v>20</v>
      </c>
      <c r="E9" s="3" t="s">
        <v>46</v>
      </c>
      <c r="F9" s="3" t="s">
        <v>22</v>
      </c>
      <c r="G9" s="3" t="s">
        <v>23</v>
      </c>
      <c r="H9" s="3"/>
      <c r="I9" s="3" t="s">
        <v>47</v>
      </c>
      <c r="J9" s="3"/>
      <c r="K9" s="3"/>
      <c r="L9" s="3"/>
      <c r="M9" s="3" t="s">
        <v>48</v>
      </c>
      <c r="N9" s="3" t="s">
        <v>49</v>
      </c>
      <c r="O9" s="3" t="s">
        <v>50</v>
      </c>
      <c r="P9" s="3"/>
      <c r="Q9" s="3"/>
      <c r="R9" s="3" t="s">
        <v>51</v>
      </c>
      <c r="S9" s="2"/>
      <c r="T9" s="2"/>
      <c r="U9" s="2"/>
      <c r="V9" s="2"/>
      <c r="W9" s="2"/>
      <c r="X9" s="2"/>
      <c r="Y9" s="2"/>
      <c r="Z9" s="2"/>
    </row>
    <row r="10" ht="14.25" customHeight="1">
      <c r="A10" s="3" t="s">
        <v>44</v>
      </c>
      <c r="B10" s="3" t="s">
        <v>45</v>
      </c>
      <c r="C10" s="3" t="str">
        <f t="array" ref="C10">IFERROR(IF(XLOOKUP(B10,Planilha1!$B:$B,Planilha1!$C:$C)=0,"",XLOOKUP(B10,Planilha1!$B:$B,Planilha1!$C:$C)),"")</f>
        <v/>
      </c>
      <c r="D10" s="3" t="s">
        <v>25</v>
      </c>
      <c r="E10" s="3" t="s">
        <v>26</v>
      </c>
      <c r="F10" s="3" t="s">
        <v>22</v>
      </c>
      <c r="G10" s="3" t="s">
        <v>23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 t="s">
        <v>27</v>
      </c>
      <c r="S10" s="2"/>
      <c r="T10" s="2"/>
      <c r="U10" s="2"/>
      <c r="V10" s="2"/>
      <c r="W10" s="2"/>
      <c r="X10" s="2"/>
      <c r="Y10" s="2"/>
      <c r="Z10" s="2"/>
    </row>
    <row r="11" ht="14.25" customHeight="1">
      <c r="A11" s="3" t="s">
        <v>44</v>
      </c>
      <c r="B11" s="3" t="s">
        <v>45</v>
      </c>
      <c r="C11" s="3" t="str">
        <f t="array" ref="C11">IFERROR(IF(XLOOKUP(B11,Planilha1!$B:$B,Planilha1!$C:$C)=0,"",XLOOKUP(B11,Planilha1!$B:$B,Planilha1!$C:$C)),"")</f>
        <v/>
      </c>
      <c r="D11" s="3" t="s">
        <v>25</v>
      </c>
      <c r="E11" s="3" t="s">
        <v>28</v>
      </c>
      <c r="F11" s="3" t="s">
        <v>22</v>
      </c>
      <c r="G11" s="3" t="s">
        <v>23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 t="s">
        <v>29</v>
      </c>
      <c r="S11" s="2"/>
      <c r="T11" s="2"/>
      <c r="U11" s="2"/>
      <c r="V11" s="2"/>
      <c r="W11" s="2"/>
      <c r="X11" s="2"/>
      <c r="Y11" s="2"/>
      <c r="Z11" s="2"/>
    </row>
    <row r="12" ht="14.25" customHeight="1">
      <c r="A12" s="3" t="s">
        <v>44</v>
      </c>
      <c r="B12" s="3" t="s">
        <v>45</v>
      </c>
      <c r="C12" s="3" t="str">
        <f t="array" ref="C12">IFERROR(IF(XLOOKUP(B12,Planilha1!$B:$B,Planilha1!$C:$C)=0,"",XLOOKUP(B12,Planilha1!$B:$B,Planilha1!$C:$C)),"")</f>
        <v/>
      </c>
      <c r="D12" s="3" t="s">
        <v>25</v>
      </c>
      <c r="E12" s="3" t="s">
        <v>52</v>
      </c>
      <c r="F12" s="3" t="s">
        <v>22</v>
      </c>
      <c r="G12" s="3" t="s">
        <v>23</v>
      </c>
      <c r="H12" s="3"/>
      <c r="I12" s="3" t="s">
        <v>47</v>
      </c>
      <c r="J12" s="3"/>
      <c r="K12" s="3"/>
      <c r="L12" s="3"/>
      <c r="M12" s="3" t="s">
        <v>48</v>
      </c>
      <c r="N12" s="3" t="s">
        <v>49</v>
      </c>
      <c r="O12" s="3" t="s">
        <v>50</v>
      </c>
      <c r="P12" s="3"/>
      <c r="Q12" s="3"/>
      <c r="R12" s="3"/>
      <c r="S12" s="2"/>
      <c r="T12" s="2"/>
      <c r="U12" s="2"/>
      <c r="V12" s="2"/>
      <c r="W12" s="2"/>
      <c r="X12" s="2"/>
      <c r="Y12" s="2"/>
      <c r="Z12" s="2"/>
    </row>
    <row r="13" ht="14.25" customHeight="1">
      <c r="A13" s="3" t="s">
        <v>44</v>
      </c>
      <c r="B13" s="3" t="s">
        <v>45</v>
      </c>
      <c r="C13" s="3" t="str">
        <f t="array" ref="C13">IFERROR(IF(XLOOKUP(B13,Planilha1!$B:$B,Planilha1!$C:$C)=0,"",XLOOKUP(B13,Planilha1!$B:$B,Planilha1!$C:$C)),"")</f>
        <v/>
      </c>
      <c r="D13" s="3" t="s">
        <v>25</v>
      </c>
      <c r="E13" s="3" t="s">
        <v>53</v>
      </c>
      <c r="F13" s="3" t="s">
        <v>22</v>
      </c>
      <c r="G13" s="3" t="s">
        <v>23</v>
      </c>
      <c r="H13" s="3"/>
      <c r="I13" s="3" t="s">
        <v>47</v>
      </c>
      <c r="J13" s="3"/>
      <c r="K13" s="3" t="s">
        <v>31</v>
      </c>
      <c r="L13" s="3" t="s">
        <v>38</v>
      </c>
      <c r="M13" s="3" t="s">
        <v>48</v>
      </c>
      <c r="N13" s="3" t="s">
        <v>49</v>
      </c>
      <c r="O13" s="3" t="s">
        <v>50</v>
      </c>
      <c r="P13" s="3"/>
      <c r="Q13" s="3"/>
      <c r="R13" s="3"/>
      <c r="S13" s="2"/>
      <c r="T13" s="2"/>
      <c r="U13" s="2"/>
      <c r="V13" s="2"/>
      <c r="W13" s="2"/>
      <c r="X13" s="2"/>
      <c r="Y13" s="2"/>
      <c r="Z13" s="2"/>
    </row>
    <row r="14" ht="14.25" customHeight="1">
      <c r="A14" s="3" t="s">
        <v>44</v>
      </c>
      <c r="B14" s="3" t="s">
        <v>45</v>
      </c>
      <c r="C14" s="3" t="str">
        <f t="array" ref="C14">IFERROR(IF(XLOOKUP(B14,Planilha1!$B:$B,Planilha1!$C:$C)=0,"",XLOOKUP(B14,Planilha1!$B:$B,Planilha1!$C:$C)),"")</f>
        <v/>
      </c>
      <c r="D14" s="3" t="s">
        <v>25</v>
      </c>
      <c r="E14" s="3" t="s">
        <v>37</v>
      </c>
      <c r="F14" s="3" t="s">
        <v>22</v>
      </c>
      <c r="G14" s="3" t="s">
        <v>23</v>
      </c>
      <c r="H14" s="3"/>
      <c r="I14" s="3" t="s">
        <v>47</v>
      </c>
      <c r="J14" s="3"/>
      <c r="K14" s="3" t="s">
        <v>31</v>
      </c>
      <c r="L14" s="3" t="s">
        <v>38</v>
      </c>
      <c r="M14" s="3" t="s">
        <v>48</v>
      </c>
      <c r="N14" s="3" t="s">
        <v>49</v>
      </c>
      <c r="O14" s="3" t="s">
        <v>50</v>
      </c>
      <c r="P14" s="3"/>
      <c r="Q14" s="3"/>
      <c r="R14" s="3"/>
      <c r="S14" s="2"/>
      <c r="T14" s="2"/>
      <c r="U14" s="2"/>
      <c r="V14" s="2"/>
      <c r="W14" s="2"/>
      <c r="X14" s="2"/>
      <c r="Y14" s="2"/>
      <c r="Z14" s="2"/>
    </row>
    <row r="15" ht="14.25" customHeight="1">
      <c r="A15" s="3" t="s">
        <v>44</v>
      </c>
      <c r="B15" s="3" t="s">
        <v>45</v>
      </c>
      <c r="C15" s="3" t="str">
        <f t="array" ref="C15">IFERROR(IF(XLOOKUP(B15,Planilha1!$B:$B,Planilha1!$C:$C)=0,"",XLOOKUP(B15,Planilha1!$B:$B,Planilha1!$C:$C)),"")</f>
        <v/>
      </c>
      <c r="D15" s="3" t="s">
        <v>25</v>
      </c>
      <c r="E15" s="3" t="s">
        <v>54</v>
      </c>
      <c r="F15" s="3" t="s">
        <v>22</v>
      </c>
      <c r="G15" s="3"/>
      <c r="H15" s="3"/>
      <c r="I15" s="3"/>
      <c r="J15" s="3"/>
      <c r="K15" s="3" t="s">
        <v>41</v>
      </c>
      <c r="L15" s="3" t="s">
        <v>42</v>
      </c>
      <c r="M15" s="3"/>
      <c r="N15" s="3"/>
      <c r="O15" s="3"/>
      <c r="P15" s="3"/>
      <c r="Q15" s="3"/>
      <c r="R15" s="3" t="s">
        <v>43</v>
      </c>
      <c r="S15" s="2"/>
      <c r="T15" s="2"/>
      <c r="U15" s="2"/>
      <c r="V15" s="2"/>
      <c r="W15" s="2"/>
      <c r="X15" s="2"/>
      <c r="Y15" s="2"/>
      <c r="Z15" s="2"/>
    </row>
    <row r="16" ht="14.25" customHeight="1">
      <c r="A16" s="3" t="s">
        <v>55</v>
      </c>
      <c r="B16" s="3" t="s">
        <v>56</v>
      </c>
      <c r="C16" s="3" t="str">
        <f t="array" ref="C16">IFERROR(IF(XLOOKUP(B16,Planilha1!$B:$B,Planilha1!$C:$C)=0,"",XLOOKUP(B16,Planilha1!$B:$B,Planilha1!$C:$C)),"")</f>
        <v/>
      </c>
      <c r="D16" s="3" t="s">
        <v>20</v>
      </c>
      <c r="E16" s="3" t="s">
        <v>46</v>
      </c>
      <c r="F16" s="3" t="s">
        <v>22</v>
      </c>
      <c r="G16" s="3" t="s">
        <v>23</v>
      </c>
      <c r="H16" s="3"/>
      <c r="I16" s="3" t="s">
        <v>47</v>
      </c>
      <c r="J16" s="3"/>
      <c r="K16" s="3"/>
      <c r="L16" s="3"/>
      <c r="M16" s="3" t="s">
        <v>48</v>
      </c>
      <c r="N16" s="3" t="s">
        <v>49</v>
      </c>
      <c r="O16" s="3" t="s">
        <v>50</v>
      </c>
      <c r="P16" s="3"/>
      <c r="Q16" s="3"/>
      <c r="R16" s="3" t="s">
        <v>51</v>
      </c>
      <c r="S16" s="2"/>
      <c r="T16" s="2"/>
      <c r="U16" s="2"/>
      <c r="V16" s="2"/>
      <c r="W16" s="2"/>
      <c r="X16" s="2"/>
      <c r="Y16" s="2"/>
      <c r="Z16" s="2"/>
    </row>
    <row r="17" ht="14.25" customHeight="1">
      <c r="A17" s="3" t="s">
        <v>55</v>
      </c>
      <c r="B17" s="3" t="s">
        <v>56</v>
      </c>
      <c r="C17" s="3" t="str">
        <f t="array" ref="C17">IFERROR(IF(XLOOKUP(B17,Planilha1!$B:$B,Planilha1!$C:$C)=0,"",XLOOKUP(B17,Planilha1!$B:$B,Planilha1!$C:$C)),"")</f>
        <v/>
      </c>
      <c r="D17" s="3" t="s">
        <v>25</v>
      </c>
      <c r="E17" s="3" t="s">
        <v>26</v>
      </c>
      <c r="F17" s="3" t="s">
        <v>22</v>
      </c>
      <c r="G17" s="3" t="s">
        <v>23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 t="s">
        <v>27</v>
      </c>
      <c r="S17" s="2"/>
      <c r="T17" s="2"/>
      <c r="U17" s="2"/>
      <c r="V17" s="2"/>
      <c r="W17" s="2"/>
      <c r="X17" s="2"/>
      <c r="Y17" s="2"/>
      <c r="Z17" s="2"/>
    </row>
    <row r="18" ht="14.25" customHeight="1">
      <c r="A18" s="3" t="s">
        <v>55</v>
      </c>
      <c r="B18" s="3" t="s">
        <v>56</v>
      </c>
      <c r="C18" s="3" t="str">
        <f t="array" ref="C18">IFERROR(IF(XLOOKUP(B18,Planilha1!$B:$B,Planilha1!$C:$C)=0,"",XLOOKUP(B18,Planilha1!$B:$B,Planilha1!$C:$C)),"")</f>
        <v/>
      </c>
      <c r="D18" s="3" t="s">
        <v>25</v>
      </c>
      <c r="E18" s="3" t="s">
        <v>28</v>
      </c>
      <c r="F18" s="3" t="s">
        <v>22</v>
      </c>
      <c r="G18" s="3" t="s">
        <v>23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 t="s">
        <v>29</v>
      </c>
      <c r="S18" s="2"/>
      <c r="T18" s="2"/>
      <c r="U18" s="2"/>
      <c r="V18" s="2"/>
      <c r="W18" s="2"/>
      <c r="X18" s="2"/>
      <c r="Y18" s="2"/>
      <c r="Z18" s="2"/>
    </row>
    <row r="19" ht="14.25" customHeight="1">
      <c r="A19" s="3" t="s">
        <v>55</v>
      </c>
      <c r="B19" s="3" t="s">
        <v>56</v>
      </c>
      <c r="C19" s="3" t="str">
        <f t="array" ref="C19">IFERROR(IF(XLOOKUP(B19,Planilha1!$B:$B,Planilha1!$C:$C)=0,"",XLOOKUP(B19,Planilha1!$B:$B,Planilha1!$C:$C)),"")</f>
        <v/>
      </c>
      <c r="D19" s="3" t="s">
        <v>25</v>
      </c>
      <c r="E19" s="3" t="s">
        <v>57</v>
      </c>
      <c r="F19" s="3" t="s">
        <v>22</v>
      </c>
      <c r="G19" s="3" t="s">
        <v>23</v>
      </c>
      <c r="H19" s="3"/>
      <c r="I19" s="3" t="s">
        <v>47</v>
      </c>
      <c r="J19" s="3"/>
      <c r="K19" s="3" t="s">
        <v>38</v>
      </c>
      <c r="L19" s="3" t="s">
        <v>32</v>
      </c>
      <c r="M19" s="3" t="s">
        <v>48</v>
      </c>
      <c r="N19" s="3" t="s">
        <v>49</v>
      </c>
      <c r="O19" s="3" t="s">
        <v>50</v>
      </c>
      <c r="P19" s="3"/>
      <c r="Q19" s="3"/>
      <c r="R19" s="3"/>
      <c r="S19" s="2"/>
      <c r="T19" s="2"/>
      <c r="U19" s="2"/>
      <c r="V19" s="2"/>
      <c r="W19" s="2"/>
      <c r="X19" s="2"/>
      <c r="Y19" s="2"/>
      <c r="Z19" s="2"/>
    </row>
    <row r="20" ht="14.25" customHeight="1">
      <c r="A20" s="3" t="s">
        <v>55</v>
      </c>
      <c r="B20" s="3" t="s">
        <v>56</v>
      </c>
      <c r="C20" s="3" t="str">
        <f t="array" ref="C20">IFERROR(IF(XLOOKUP(B20,Planilha1!$B:$B,Planilha1!$C:$C)=0,"",XLOOKUP(B20,Planilha1!$B:$B,Planilha1!$C:$C)),"")</f>
        <v/>
      </c>
      <c r="D20" s="3" t="s">
        <v>25</v>
      </c>
      <c r="E20" s="3" t="s">
        <v>58</v>
      </c>
      <c r="F20" s="3" t="s">
        <v>35</v>
      </c>
      <c r="G20" s="3"/>
      <c r="H20" s="3"/>
      <c r="I20" s="3"/>
      <c r="J20" s="3"/>
      <c r="K20" s="3"/>
      <c r="L20" s="3"/>
      <c r="M20" s="3" t="s">
        <v>48</v>
      </c>
      <c r="N20" s="3" t="s">
        <v>49</v>
      </c>
      <c r="O20" s="3" t="s">
        <v>50</v>
      </c>
      <c r="P20" s="3"/>
      <c r="Q20" s="3"/>
      <c r="R20" s="3" t="s">
        <v>36</v>
      </c>
      <c r="S20" s="2"/>
      <c r="T20" s="2"/>
      <c r="U20" s="2"/>
      <c r="V20" s="2"/>
      <c r="W20" s="2"/>
      <c r="X20" s="2"/>
      <c r="Y20" s="2"/>
      <c r="Z20" s="2"/>
    </row>
    <row r="21" ht="14.25" customHeight="1">
      <c r="A21" s="3" t="s">
        <v>55</v>
      </c>
      <c r="B21" s="3" t="s">
        <v>56</v>
      </c>
      <c r="C21" s="3" t="str">
        <f t="array" ref="C21">IFERROR(IF(XLOOKUP(B21,Planilha1!$B:$B,Planilha1!$C:$C)=0,"",XLOOKUP(B21,Planilha1!$B:$B,Planilha1!$C:$C)),"")</f>
        <v/>
      </c>
      <c r="D21" s="3" t="s">
        <v>25</v>
      </c>
      <c r="E21" s="3" t="s">
        <v>37</v>
      </c>
      <c r="F21" s="3" t="s">
        <v>22</v>
      </c>
      <c r="G21" s="3" t="s">
        <v>23</v>
      </c>
      <c r="H21" s="3"/>
      <c r="I21" s="3" t="s">
        <v>47</v>
      </c>
      <c r="J21" s="3"/>
      <c r="K21" s="3" t="s">
        <v>31</v>
      </c>
      <c r="L21" s="3" t="s">
        <v>38</v>
      </c>
      <c r="M21" s="3" t="s">
        <v>48</v>
      </c>
      <c r="N21" s="3" t="s">
        <v>49</v>
      </c>
      <c r="O21" s="3" t="s">
        <v>50</v>
      </c>
      <c r="P21" s="3"/>
      <c r="Q21" s="3"/>
      <c r="R21" s="3"/>
      <c r="S21" s="2"/>
      <c r="T21" s="2"/>
      <c r="U21" s="2"/>
      <c r="V21" s="2"/>
      <c r="W21" s="2"/>
      <c r="X21" s="2"/>
      <c r="Y21" s="2"/>
      <c r="Z21" s="2"/>
    </row>
    <row r="22" ht="14.25" customHeight="1">
      <c r="A22" s="3" t="s">
        <v>55</v>
      </c>
      <c r="B22" s="3" t="s">
        <v>56</v>
      </c>
      <c r="C22" s="3" t="str">
        <f t="array" ref="C22">IFERROR(IF(XLOOKUP(B22,Planilha1!$B:$B,Planilha1!$C:$C)=0,"",XLOOKUP(B22,Planilha1!$B:$B,Planilha1!$C:$C)),"")</f>
        <v/>
      </c>
      <c r="D22" s="3" t="s">
        <v>25</v>
      </c>
      <c r="E22" s="3" t="s">
        <v>54</v>
      </c>
      <c r="F22" s="3" t="s">
        <v>22</v>
      </c>
      <c r="G22" s="3"/>
      <c r="H22" s="3"/>
      <c r="I22" s="3"/>
      <c r="J22" s="3"/>
      <c r="K22" s="3" t="s">
        <v>41</v>
      </c>
      <c r="L22" s="3" t="s">
        <v>59</v>
      </c>
      <c r="M22" s="3"/>
      <c r="N22" s="3"/>
      <c r="O22" s="3"/>
      <c r="P22" s="3"/>
      <c r="Q22" s="3"/>
      <c r="R22" s="3" t="s">
        <v>43</v>
      </c>
      <c r="S22" s="2"/>
      <c r="T22" s="2"/>
      <c r="U22" s="2"/>
      <c r="V22" s="2"/>
      <c r="W22" s="2"/>
      <c r="X22" s="2"/>
      <c r="Y22" s="2"/>
      <c r="Z22" s="2"/>
    </row>
    <row r="23" ht="14.25" customHeight="1">
      <c r="A23" s="3" t="s">
        <v>60</v>
      </c>
      <c r="B23" s="3" t="s">
        <v>61</v>
      </c>
      <c r="C23" s="3" t="str">
        <f t="array" ref="C23">IFERROR(IF(XLOOKUP(B23,Planilha1!$B:$B,Planilha1!$C:$C)=0,"",XLOOKUP(B23,Planilha1!$B:$B,Planilha1!$C:$C)),"")</f>
        <v/>
      </c>
      <c r="D23" s="3" t="s">
        <v>20</v>
      </c>
      <c r="E23" s="3" t="s">
        <v>46</v>
      </c>
      <c r="F23" s="3" t="s">
        <v>22</v>
      </c>
      <c r="G23" s="3" t="s">
        <v>23</v>
      </c>
      <c r="H23" s="3"/>
      <c r="I23" s="3" t="s">
        <v>47</v>
      </c>
      <c r="J23" s="3"/>
      <c r="K23" s="3"/>
      <c r="L23" s="3"/>
      <c r="M23" s="3" t="s">
        <v>48</v>
      </c>
      <c r="N23" s="3" t="s">
        <v>49</v>
      </c>
      <c r="O23" s="3" t="s">
        <v>50</v>
      </c>
      <c r="P23" s="3"/>
      <c r="Q23" s="3"/>
      <c r="R23" s="3" t="s">
        <v>51</v>
      </c>
      <c r="S23" s="2"/>
      <c r="T23" s="2"/>
      <c r="U23" s="2"/>
      <c r="V23" s="2"/>
      <c r="W23" s="2"/>
      <c r="X23" s="2"/>
      <c r="Y23" s="2"/>
      <c r="Z23" s="2"/>
    </row>
    <row r="24" ht="14.25" customHeight="1">
      <c r="A24" s="3" t="s">
        <v>60</v>
      </c>
      <c r="B24" s="3" t="s">
        <v>61</v>
      </c>
      <c r="C24" s="3" t="str">
        <f t="array" ref="C24">IFERROR(IF(XLOOKUP(B24,Planilha1!$B:$B,Planilha1!$C:$C)=0,"",XLOOKUP(B24,Planilha1!$B:$B,Planilha1!$C:$C)),"")</f>
        <v/>
      </c>
      <c r="D24" s="3" t="s">
        <v>25</v>
      </c>
      <c r="E24" s="3" t="s">
        <v>26</v>
      </c>
      <c r="F24" s="3" t="s">
        <v>22</v>
      </c>
      <c r="G24" s="3" t="s">
        <v>23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 t="s">
        <v>27</v>
      </c>
      <c r="S24" s="2"/>
      <c r="T24" s="2"/>
      <c r="U24" s="2"/>
      <c r="V24" s="2"/>
      <c r="W24" s="2"/>
      <c r="X24" s="2"/>
      <c r="Y24" s="2"/>
      <c r="Z24" s="2"/>
    </row>
    <row r="25" ht="14.25" customHeight="1">
      <c r="A25" s="3" t="s">
        <v>60</v>
      </c>
      <c r="B25" s="3" t="s">
        <v>61</v>
      </c>
      <c r="C25" s="3" t="str">
        <f t="array" ref="C25">IFERROR(IF(XLOOKUP(B25,Planilha1!$B:$B,Planilha1!$C:$C)=0,"",XLOOKUP(B25,Planilha1!$B:$B,Planilha1!$C:$C)),"")</f>
        <v/>
      </c>
      <c r="D25" s="3" t="s">
        <v>25</v>
      </c>
      <c r="E25" s="3" t="s">
        <v>28</v>
      </c>
      <c r="F25" s="3" t="s">
        <v>22</v>
      </c>
      <c r="G25" s="3" t="s">
        <v>23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 t="s">
        <v>29</v>
      </c>
      <c r="S25" s="2"/>
      <c r="T25" s="2"/>
      <c r="U25" s="2"/>
      <c r="V25" s="2"/>
      <c r="W25" s="2"/>
      <c r="X25" s="2"/>
      <c r="Y25" s="2"/>
      <c r="Z25" s="2"/>
    </row>
    <row r="26" ht="14.25" customHeight="1">
      <c r="A26" s="3" t="s">
        <v>60</v>
      </c>
      <c r="B26" s="3" t="s">
        <v>61</v>
      </c>
      <c r="C26" s="3" t="str">
        <f t="array" ref="C26">IFERROR(IF(XLOOKUP(B26,Planilha1!$B:$B,Planilha1!$C:$C)=0,"",XLOOKUP(B26,Planilha1!$B:$B,Planilha1!$C:$C)),"")</f>
        <v/>
      </c>
      <c r="D26" s="3" t="s">
        <v>25</v>
      </c>
      <c r="E26" s="3" t="s">
        <v>30</v>
      </c>
      <c r="F26" s="3" t="s">
        <v>22</v>
      </c>
      <c r="G26" s="3" t="s">
        <v>23</v>
      </c>
      <c r="H26" s="3"/>
      <c r="I26" s="3" t="s">
        <v>47</v>
      </c>
      <c r="J26" s="3"/>
      <c r="K26" s="3" t="s">
        <v>42</v>
      </c>
      <c r="L26" s="3" t="s">
        <v>31</v>
      </c>
      <c r="M26" s="3" t="s">
        <v>48</v>
      </c>
      <c r="N26" s="3" t="s">
        <v>49</v>
      </c>
      <c r="O26" s="3" t="s">
        <v>50</v>
      </c>
      <c r="P26" s="3"/>
      <c r="Q26" s="3"/>
      <c r="R26" s="3"/>
      <c r="S26" s="2"/>
      <c r="T26" s="2"/>
      <c r="U26" s="2"/>
      <c r="V26" s="2"/>
      <c r="W26" s="2"/>
      <c r="X26" s="2"/>
      <c r="Y26" s="2"/>
      <c r="Z26" s="2"/>
    </row>
    <row r="27" ht="14.25" customHeight="1">
      <c r="A27" s="3" t="s">
        <v>60</v>
      </c>
      <c r="B27" s="3" t="s">
        <v>61</v>
      </c>
      <c r="C27" s="3" t="str">
        <f t="array" ref="C27">IFERROR(IF(XLOOKUP(B27,Planilha1!$B:$B,Planilha1!$C:$C)=0,"",XLOOKUP(B27,Planilha1!$B:$B,Planilha1!$C:$C)),"")</f>
        <v/>
      </c>
      <c r="D27" s="3" t="s">
        <v>25</v>
      </c>
      <c r="E27" s="3" t="s">
        <v>37</v>
      </c>
      <c r="F27" s="3" t="s">
        <v>22</v>
      </c>
      <c r="G27" s="3" t="s">
        <v>23</v>
      </c>
      <c r="H27" s="3"/>
      <c r="I27" s="3" t="s">
        <v>47</v>
      </c>
      <c r="J27" s="3"/>
      <c r="K27" s="3" t="s">
        <v>62</v>
      </c>
      <c r="L27" s="3" t="s">
        <v>31</v>
      </c>
      <c r="M27" s="3" t="s">
        <v>48</v>
      </c>
      <c r="N27" s="3" t="s">
        <v>49</v>
      </c>
      <c r="O27" s="3" t="s">
        <v>50</v>
      </c>
      <c r="P27" s="3"/>
      <c r="Q27" s="3"/>
      <c r="R27" s="3"/>
      <c r="S27" s="2"/>
      <c r="T27" s="2"/>
      <c r="U27" s="2"/>
      <c r="V27" s="2"/>
      <c r="W27" s="2"/>
      <c r="X27" s="2"/>
      <c r="Y27" s="2"/>
      <c r="Z27" s="2"/>
    </row>
    <row r="28" ht="14.25" customHeight="1">
      <c r="A28" s="3" t="s">
        <v>60</v>
      </c>
      <c r="B28" s="3" t="s">
        <v>61</v>
      </c>
      <c r="C28" s="3" t="str">
        <f t="array" ref="C28">IFERROR(IF(XLOOKUP(B28,Planilha1!$B:$B,Planilha1!$C:$C)=0,"",XLOOKUP(B28,Planilha1!$B:$B,Planilha1!$C:$C)),"")</f>
        <v/>
      </c>
      <c r="D28" s="3" t="s">
        <v>25</v>
      </c>
      <c r="E28" s="3" t="s">
        <v>54</v>
      </c>
      <c r="F28" s="3" t="s">
        <v>22</v>
      </c>
      <c r="G28" s="3"/>
      <c r="H28" s="3"/>
      <c r="I28" s="3"/>
      <c r="J28" s="3"/>
      <c r="K28" s="3" t="s">
        <v>41</v>
      </c>
      <c r="L28" s="3" t="s">
        <v>42</v>
      </c>
      <c r="M28" s="3"/>
      <c r="N28" s="3"/>
      <c r="O28" s="3"/>
      <c r="P28" s="3"/>
      <c r="Q28" s="3"/>
      <c r="R28" s="3" t="s">
        <v>43</v>
      </c>
      <c r="S28" s="2"/>
      <c r="T28" s="2"/>
      <c r="U28" s="2"/>
      <c r="V28" s="2"/>
      <c r="W28" s="2"/>
      <c r="X28" s="2"/>
      <c r="Y28" s="2"/>
      <c r="Z28" s="2"/>
    </row>
    <row r="29" ht="14.25" customHeight="1">
      <c r="A29" s="3" t="s">
        <v>63</v>
      </c>
      <c r="B29" s="3" t="s">
        <v>64</v>
      </c>
      <c r="C29" s="3" t="str">
        <f t="array" ref="C29">IFERROR(IF(XLOOKUP(B29,Planilha1!$B:$B,Planilha1!$C:$C)=0,"",XLOOKUP(B29,Planilha1!$B:$B,Planilha1!$C:$C)),"")</f>
        <v/>
      </c>
      <c r="D29" s="3" t="s">
        <v>20</v>
      </c>
      <c r="E29" s="3" t="s">
        <v>65</v>
      </c>
      <c r="F29" s="3" t="s">
        <v>22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 t="s">
        <v>66</v>
      </c>
      <c r="S29" s="2"/>
      <c r="T29" s="2"/>
      <c r="U29" s="2"/>
      <c r="V29" s="2"/>
      <c r="W29" s="2"/>
      <c r="X29" s="2"/>
      <c r="Y29" s="2"/>
      <c r="Z29" s="2"/>
    </row>
    <row r="30" ht="14.25" customHeight="1">
      <c r="A30" s="3" t="s">
        <v>63</v>
      </c>
      <c r="B30" s="3" t="s">
        <v>64</v>
      </c>
      <c r="C30" s="3" t="str">
        <f t="array" ref="C30">IFERROR(IF(XLOOKUP(B30,Planilha1!$B:$B,Planilha1!$C:$C)=0,"",XLOOKUP(B30,Planilha1!$B:$B,Planilha1!$C:$C)),"")</f>
        <v/>
      </c>
      <c r="D30" s="3" t="s">
        <v>20</v>
      </c>
      <c r="E30" s="3" t="s">
        <v>67</v>
      </c>
      <c r="F30" s="3" t="s">
        <v>22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 t="s">
        <v>68</v>
      </c>
      <c r="S30" s="2"/>
      <c r="T30" s="2"/>
      <c r="U30" s="2"/>
      <c r="V30" s="2"/>
      <c r="W30" s="2"/>
      <c r="X30" s="2"/>
      <c r="Y30" s="2"/>
      <c r="Z30" s="2"/>
    </row>
    <row r="31" ht="14.25" customHeight="1">
      <c r="A31" s="3" t="s">
        <v>63</v>
      </c>
      <c r="B31" s="3" t="s">
        <v>64</v>
      </c>
      <c r="C31" s="3" t="str">
        <f t="array" ref="C31">IFERROR(IF(XLOOKUP(B31,Planilha1!$B:$B,Planilha1!$C:$C)=0,"",XLOOKUP(B31,Planilha1!$B:$B,Planilha1!$C:$C)),"")</f>
        <v/>
      </c>
      <c r="D31" s="3" t="s">
        <v>20</v>
      </c>
      <c r="E31" s="3" t="s">
        <v>69</v>
      </c>
      <c r="F31" s="3" t="s">
        <v>22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 t="s">
        <v>70</v>
      </c>
      <c r="S31" s="2"/>
      <c r="T31" s="2"/>
      <c r="U31" s="2"/>
      <c r="V31" s="2"/>
      <c r="W31" s="2"/>
      <c r="X31" s="2"/>
      <c r="Y31" s="2"/>
      <c r="Z31" s="2"/>
    </row>
    <row r="32" ht="14.25" customHeight="1">
      <c r="A32" s="3" t="s">
        <v>63</v>
      </c>
      <c r="B32" s="3" t="s">
        <v>64</v>
      </c>
      <c r="C32" s="3" t="str">
        <f t="array" ref="C32">IFERROR(IF(XLOOKUP(B32,Planilha1!$B:$B,Planilha1!$C:$C)=0,"",XLOOKUP(B32,Planilha1!$B:$B,Planilha1!$C:$C)),"")</f>
        <v/>
      </c>
      <c r="D32" s="3" t="s">
        <v>25</v>
      </c>
      <c r="E32" s="3" t="s">
        <v>26</v>
      </c>
      <c r="F32" s="3" t="s">
        <v>22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 t="s">
        <v>71</v>
      </c>
      <c r="S32" s="2"/>
      <c r="T32" s="2"/>
      <c r="U32" s="2"/>
      <c r="V32" s="2"/>
      <c r="W32" s="2"/>
      <c r="X32" s="2"/>
      <c r="Y32" s="2"/>
      <c r="Z32" s="2"/>
    </row>
    <row r="33" ht="14.25" customHeight="1">
      <c r="A33" s="3" t="s">
        <v>63</v>
      </c>
      <c r="B33" s="3" t="s">
        <v>64</v>
      </c>
      <c r="C33" s="3" t="str">
        <f t="array" ref="C33">IFERROR(IF(XLOOKUP(B33,Planilha1!$B:$B,Planilha1!$C:$C)=0,"",XLOOKUP(B33,Planilha1!$B:$B,Planilha1!$C:$C)),"")</f>
        <v/>
      </c>
      <c r="D33" s="3" t="s">
        <v>25</v>
      </c>
      <c r="E33" s="3" t="s">
        <v>72</v>
      </c>
      <c r="F33" s="3" t="s">
        <v>22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 t="s">
        <v>73</v>
      </c>
      <c r="S33" s="2"/>
      <c r="T33" s="2"/>
      <c r="U33" s="2"/>
      <c r="V33" s="2"/>
      <c r="W33" s="2"/>
      <c r="X33" s="2"/>
      <c r="Y33" s="2"/>
      <c r="Z33" s="2"/>
    </row>
    <row r="34" ht="14.25" customHeight="1">
      <c r="A34" s="3" t="s">
        <v>63</v>
      </c>
      <c r="B34" s="3" t="s">
        <v>64</v>
      </c>
      <c r="C34" s="3" t="str">
        <f t="array" ref="C34">IFERROR(IF(XLOOKUP(B34,Planilha1!$B:$B,Planilha1!$C:$C)=0,"",XLOOKUP(B34,Planilha1!$B:$B,Planilha1!$C:$C)),"")</f>
        <v/>
      </c>
      <c r="D34" s="3" t="s">
        <v>25</v>
      </c>
      <c r="E34" s="3" t="s">
        <v>74</v>
      </c>
      <c r="F34" s="3" t="s">
        <v>22</v>
      </c>
      <c r="G34" s="3"/>
      <c r="H34" s="3"/>
      <c r="I34" s="3"/>
      <c r="J34" s="3"/>
      <c r="K34" s="3" t="s">
        <v>75</v>
      </c>
      <c r="L34" s="3"/>
      <c r="M34" s="3"/>
      <c r="N34" s="3"/>
      <c r="O34" s="3"/>
      <c r="P34" s="3"/>
      <c r="Q34" s="3"/>
      <c r="R34" s="3" t="s">
        <v>76</v>
      </c>
      <c r="S34" s="2"/>
      <c r="T34" s="2"/>
      <c r="U34" s="2"/>
      <c r="V34" s="2"/>
      <c r="W34" s="2"/>
      <c r="X34" s="2"/>
      <c r="Y34" s="2"/>
      <c r="Z34" s="2"/>
    </row>
    <row r="35" ht="14.25" customHeight="1">
      <c r="A35" s="3" t="s">
        <v>77</v>
      </c>
      <c r="B35" s="3" t="s">
        <v>78</v>
      </c>
      <c r="C35" s="3" t="str">
        <f t="array" ref="C35">IFERROR(IF(XLOOKUP(B35,Planilha1!$B:$B,Planilha1!$C:$C)=0,"",XLOOKUP(B35,Planilha1!$B:$B,Planilha1!$C:$C)),"")</f>
        <v>ZC</v>
      </c>
      <c r="D35" s="3" t="s">
        <v>20</v>
      </c>
      <c r="E35" s="3" t="s">
        <v>79</v>
      </c>
      <c r="F35" s="3" t="s">
        <v>22</v>
      </c>
      <c r="G35" s="3" t="s">
        <v>23</v>
      </c>
      <c r="H35" s="3"/>
      <c r="I35" s="3" t="s">
        <v>47</v>
      </c>
      <c r="J35" s="3"/>
      <c r="K35" s="3"/>
      <c r="L35" s="3"/>
      <c r="M35" s="3" t="s">
        <v>48</v>
      </c>
      <c r="N35" s="3"/>
      <c r="O35" s="3" t="s">
        <v>50</v>
      </c>
      <c r="P35" s="3"/>
      <c r="Q35" s="3" t="s">
        <v>80</v>
      </c>
      <c r="R35" s="3" t="s">
        <v>81</v>
      </c>
      <c r="S35" s="2"/>
      <c r="T35" s="2"/>
      <c r="U35" s="2"/>
      <c r="V35" s="2"/>
      <c r="W35" s="2"/>
      <c r="X35" s="2"/>
      <c r="Y35" s="2"/>
      <c r="Z35" s="2"/>
    </row>
    <row r="36" ht="14.25" customHeight="1">
      <c r="A36" s="3" t="s">
        <v>77</v>
      </c>
      <c r="B36" s="3" t="s">
        <v>78</v>
      </c>
      <c r="C36" s="3" t="str">
        <f t="array" ref="C36">IFERROR(IF(XLOOKUP(B36,Planilha1!$B:$B,Planilha1!$C:$C)=0,"",XLOOKUP(B36,Planilha1!$B:$B,Planilha1!$C:$C)),"")</f>
        <v>ZC</v>
      </c>
      <c r="D36" s="3" t="s">
        <v>20</v>
      </c>
      <c r="E36" s="3" t="s">
        <v>82</v>
      </c>
      <c r="F36" s="3" t="s">
        <v>22</v>
      </c>
      <c r="G36" s="3" t="s">
        <v>49</v>
      </c>
      <c r="H36" s="3"/>
      <c r="I36" s="3" t="s">
        <v>83</v>
      </c>
      <c r="J36" s="3"/>
      <c r="K36" s="3"/>
      <c r="L36" s="3"/>
      <c r="M36" s="3" t="s">
        <v>84</v>
      </c>
      <c r="N36" s="3" t="s">
        <v>85</v>
      </c>
      <c r="O36" s="3" t="s">
        <v>86</v>
      </c>
      <c r="P36" s="3" t="s">
        <v>47</v>
      </c>
      <c r="Q36" s="3" t="s">
        <v>80</v>
      </c>
      <c r="R36" s="3" t="s">
        <v>87</v>
      </c>
      <c r="S36" s="2"/>
      <c r="T36" s="2"/>
      <c r="U36" s="2"/>
      <c r="V36" s="2"/>
      <c r="W36" s="2"/>
      <c r="X36" s="2"/>
      <c r="Y36" s="2"/>
      <c r="Z36" s="2"/>
    </row>
    <row r="37" ht="14.25" customHeight="1">
      <c r="A37" s="3" t="s">
        <v>77</v>
      </c>
      <c r="B37" s="3" t="s">
        <v>78</v>
      </c>
      <c r="C37" s="3" t="str">
        <f t="array" ref="C37">IFERROR(IF(XLOOKUP(B37,Planilha1!$B:$B,Planilha1!$C:$C)=0,"",XLOOKUP(B37,Planilha1!$B:$B,Planilha1!$C:$C)),"")</f>
        <v>ZC</v>
      </c>
      <c r="D37" s="3" t="s">
        <v>25</v>
      </c>
      <c r="E37" s="3" t="s">
        <v>52</v>
      </c>
      <c r="F37" s="3" t="s">
        <v>22</v>
      </c>
      <c r="G37" s="3" t="s">
        <v>49</v>
      </c>
      <c r="H37" s="3"/>
      <c r="I37" s="3" t="s">
        <v>83</v>
      </c>
      <c r="J37" s="3"/>
      <c r="K37" s="3"/>
      <c r="L37" s="3"/>
      <c r="M37" s="3" t="s">
        <v>84</v>
      </c>
      <c r="N37" s="3" t="s">
        <v>85</v>
      </c>
      <c r="O37" s="3" t="s">
        <v>86</v>
      </c>
      <c r="P37" s="3" t="s">
        <v>47</v>
      </c>
      <c r="Q37" s="3" t="s">
        <v>80</v>
      </c>
      <c r="R37" s="3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3" t="s">
        <v>77</v>
      </c>
      <c r="B38" s="3" t="s">
        <v>78</v>
      </c>
      <c r="C38" s="3" t="str">
        <f t="array" ref="C38">IFERROR(IF(XLOOKUP(B38,Planilha1!$B:$B,Planilha1!$C:$C)=0,"",XLOOKUP(B38,Planilha1!$B:$B,Planilha1!$C:$C)),"")</f>
        <v>ZC</v>
      </c>
      <c r="D38" s="3" t="s">
        <v>25</v>
      </c>
      <c r="E38" s="3" t="s">
        <v>88</v>
      </c>
      <c r="F38" s="3" t="s">
        <v>22</v>
      </c>
      <c r="G38" s="3" t="s">
        <v>89</v>
      </c>
      <c r="H38" s="3"/>
      <c r="I38" s="3" t="s">
        <v>83</v>
      </c>
      <c r="J38" s="3"/>
      <c r="K38" s="3"/>
      <c r="L38" s="3"/>
      <c r="M38" s="3" t="s">
        <v>84</v>
      </c>
      <c r="N38" s="3" t="s">
        <v>85</v>
      </c>
      <c r="O38" s="3" t="s">
        <v>86</v>
      </c>
      <c r="P38" s="3" t="s">
        <v>47</v>
      </c>
      <c r="Q38" s="3" t="s">
        <v>80</v>
      </c>
      <c r="R38" s="3" t="s">
        <v>90</v>
      </c>
      <c r="S38" s="2"/>
      <c r="T38" s="2"/>
      <c r="U38" s="2"/>
      <c r="V38" s="2"/>
      <c r="W38" s="2"/>
      <c r="X38" s="2"/>
      <c r="Y38" s="2"/>
      <c r="Z38" s="2"/>
    </row>
    <row r="39" ht="14.25" customHeight="1">
      <c r="A39" s="3" t="s">
        <v>77</v>
      </c>
      <c r="B39" s="3" t="s">
        <v>78</v>
      </c>
      <c r="C39" s="3" t="str">
        <f t="array" ref="C39">IFERROR(IF(XLOOKUP(B39,Planilha1!$B:$B,Planilha1!$C:$C)=0,"",XLOOKUP(B39,Planilha1!$B:$B,Planilha1!$C:$C)),"")</f>
        <v>ZC</v>
      </c>
      <c r="D39" s="3" t="s">
        <v>25</v>
      </c>
      <c r="E39" s="3" t="s">
        <v>91</v>
      </c>
      <c r="F39" s="3" t="s">
        <v>35</v>
      </c>
      <c r="G39" s="3" t="s">
        <v>89</v>
      </c>
      <c r="H39" s="3"/>
      <c r="I39" s="3" t="s">
        <v>83</v>
      </c>
      <c r="J39" s="3"/>
      <c r="K39" s="3"/>
      <c r="L39" s="3"/>
      <c r="M39" s="3" t="s">
        <v>84</v>
      </c>
      <c r="N39" s="3" t="s">
        <v>85</v>
      </c>
      <c r="O39" s="3" t="s">
        <v>86</v>
      </c>
      <c r="P39" s="3" t="s">
        <v>47</v>
      </c>
      <c r="Q39" s="3" t="s">
        <v>80</v>
      </c>
      <c r="R39" s="3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3" t="s">
        <v>77</v>
      </c>
      <c r="B40" s="3" t="s">
        <v>78</v>
      </c>
      <c r="C40" s="3" t="str">
        <f t="array" ref="C40">IFERROR(IF(XLOOKUP(B40,Planilha1!$B:$B,Planilha1!$C:$C)=0,"",XLOOKUP(B40,Planilha1!$B:$B,Planilha1!$C:$C)),"")</f>
        <v>ZC</v>
      </c>
      <c r="D40" s="3" t="s">
        <v>25</v>
      </c>
      <c r="E40" s="3" t="s">
        <v>92</v>
      </c>
      <c r="F40" s="3" t="s">
        <v>22</v>
      </c>
      <c r="G40" s="3"/>
      <c r="H40" s="3"/>
      <c r="I40" s="3"/>
      <c r="J40" s="3"/>
      <c r="K40" s="3" t="s">
        <v>75</v>
      </c>
      <c r="L40" s="3"/>
      <c r="M40" s="3"/>
      <c r="N40" s="3"/>
      <c r="O40" s="3"/>
      <c r="P40" s="3"/>
      <c r="Q40" s="3"/>
      <c r="R40" s="3" t="s">
        <v>93</v>
      </c>
      <c r="S40" s="2"/>
      <c r="T40" s="2"/>
      <c r="U40" s="2"/>
      <c r="V40" s="2"/>
      <c r="W40" s="2"/>
      <c r="X40" s="2"/>
      <c r="Y40" s="2"/>
      <c r="Z40" s="2"/>
    </row>
    <row r="41" ht="14.25" customHeight="1">
      <c r="A41" s="3" t="s">
        <v>94</v>
      </c>
      <c r="B41" s="3" t="s">
        <v>95</v>
      </c>
      <c r="C41" s="3" t="str">
        <f t="array" ref="C41">IFERROR(IF(XLOOKUP(B41,Planilha1!$B:$B,Planilha1!$C:$C)=0,"",XLOOKUP(B41,Planilha1!$B:$B,Planilha1!$C:$C)),"")</f>
        <v>ZR1</v>
      </c>
      <c r="D41" s="3" t="s">
        <v>20</v>
      </c>
      <c r="E41" s="3" t="s">
        <v>65</v>
      </c>
      <c r="F41" s="3" t="s">
        <v>22</v>
      </c>
      <c r="G41" s="3" t="s">
        <v>23</v>
      </c>
      <c r="H41" s="3"/>
      <c r="I41" s="3" t="s">
        <v>47</v>
      </c>
      <c r="J41" s="3"/>
      <c r="K41" s="3"/>
      <c r="L41" s="3"/>
      <c r="M41" s="3" t="s">
        <v>48</v>
      </c>
      <c r="N41" s="3" t="s">
        <v>49</v>
      </c>
      <c r="O41" s="3" t="s">
        <v>50</v>
      </c>
      <c r="P41" s="3"/>
      <c r="Q41" s="3" t="s">
        <v>96</v>
      </c>
      <c r="R41" s="3" t="s">
        <v>97</v>
      </c>
      <c r="S41" s="2"/>
      <c r="T41" s="2"/>
      <c r="U41" s="2"/>
      <c r="V41" s="2"/>
      <c r="W41" s="2"/>
      <c r="X41" s="2"/>
      <c r="Y41" s="2"/>
      <c r="Z41" s="2"/>
    </row>
    <row r="42" ht="14.25" customHeight="1">
      <c r="A42" s="3" t="s">
        <v>94</v>
      </c>
      <c r="B42" s="3" t="s">
        <v>95</v>
      </c>
      <c r="C42" s="3" t="str">
        <f t="array" ref="C42">IFERROR(IF(XLOOKUP(B42,Planilha1!$B:$B,Planilha1!$C:$C)=0,"",XLOOKUP(B42,Planilha1!$B:$B,Planilha1!$C:$C)),"")</f>
        <v>ZR1</v>
      </c>
      <c r="D42" s="3" t="s">
        <v>20</v>
      </c>
      <c r="E42" s="3" t="s">
        <v>98</v>
      </c>
      <c r="F42" s="3" t="s">
        <v>22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 t="s">
        <v>96</v>
      </c>
      <c r="R42" s="3" t="s">
        <v>99</v>
      </c>
      <c r="S42" s="2"/>
      <c r="T42" s="2"/>
      <c r="U42" s="2"/>
      <c r="V42" s="2"/>
      <c r="W42" s="2"/>
      <c r="X42" s="2"/>
      <c r="Y42" s="2"/>
      <c r="Z42" s="2"/>
    </row>
    <row r="43" ht="14.25" customHeight="1">
      <c r="A43" s="3" t="s">
        <v>94</v>
      </c>
      <c r="B43" s="3" t="s">
        <v>95</v>
      </c>
      <c r="C43" s="3" t="str">
        <f t="array" ref="C43">IFERROR(IF(XLOOKUP(B43,Planilha1!$B:$B,Planilha1!$C:$C)=0,"",XLOOKUP(B43,Planilha1!$B:$B,Planilha1!$C:$C)),"")</f>
        <v>ZR1</v>
      </c>
      <c r="D43" s="3" t="s">
        <v>25</v>
      </c>
      <c r="E43" s="3" t="s">
        <v>100</v>
      </c>
      <c r="F43" s="3" t="s">
        <v>22</v>
      </c>
      <c r="G43" s="3"/>
      <c r="H43" s="3"/>
      <c r="I43" s="3"/>
      <c r="J43" s="3"/>
      <c r="K43" s="3" t="s">
        <v>101</v>
      </c>
      <c r="L43" s="3"/>
      <c r="M43" s="3"/>
      <c r="N43" s="3"/>
      <c r="O43" s="3"/>
      <c r="P43" s="3"/>
      <c r="Q43" s="3"/>
      <c r="R43" s="3" t="s">
        <v>102</v>
      </c>
      <c r="S43" s="2"/>
      <c r="T43" s="2"/>
      <c r="U43" s="2"/>
      <c r="V43" s="2"/>
      <c r="W43" s="2"/>
      <c r="X43" s="2"/>
      <c r="Y43" s="2"/>
      <c r="Z43" s="2"/>
    </row>
    <row r="44" ht="14.25" customHeight="1">
      <c r="A44" s="3" t="s">
        <v>94</v>
      </c>
      <c r="B44" s="3" t="s">
        <v>95</v>
      </c>
      <c r="C44" s="3" t="str">
        <f t="array" ref="C44">IFERROR(IF(XLOOKUP(B44,Planilha1!$B:$B,Planilha1!$C:$C)=0,"",XLOOKUP(B44,Planilha1!$B:$B,Planilha1!$C:$C)),"")</f>
        <v>ZR1</v>
      </c>
      <c r="D44" s="3" t="s">
        <v>25</v>
      </c>
      <c r="E44" s="3" t="s">
        <v>54</v>
      </c>
      <c r="F44" s="3" t="s">
        <v>22</v>
      </c>
      <c r="G44" s="3"/>
      <c r="H44" s="3"/>
      <c r="I44" s="3"/>
      <c r="J44" s="3"/>
      <c r="K44" s="3" t="s">
        <v>101</v>
      </c>
      <c r="L44" s="3"/>
      <c r="M44" s="3"/>
      <c r="N44" s="3"/>
      <c r="O44" s="3"/>
      <c r="P44" s="3"/>
      <c r="Q44" s="3"/>
      <c r="R44" s="3" t="s">
        <v>103</v>
      </c>
      <c r="S44" s="2"/>
      <c r="T44" s="2"/>
      <c r="U44" s="2"/>
      <c r="V44" s="2"/>
      <c r="W44" s="2"/>
      <c r="X44" s="2"/>
      <c r="Y44" s="2"/>
      <c r="Z44" s="2"/>
    </row>
    <row r="45" ht="14.25" customHeight="1">
      <c r="A45" s="3" t="s">
        <v>104</v>
      </c>
      <c r="B45" s="3" t="s">
        <v>105</v>
      </c>
      <c r="C45" s="3" t="str">
        <f t="array" ref="C45">IFERROR(IF(XLOOKUP(B45,Planilha1!$B:$B,Planilha1!$C:$C)=0,"",XLOOKUP(B45,Planilha1!$B:$B,Planilha1!$C:$C)),"")</f>
        <v>ZR2</v>
      </c>
      <c r="D45" s="3" t="s">
        <v>20</v>
      </c>
      <c r="E45" s="3" t="s">
        <v>79</v>
      </c>
      <c r="F45" s="3" t="s">
        <v>22</v>
      </c>
      <c r="G45" s="3" t="s">
        <v>23</v>
      </c>
      <c r="H45" s="3"/>
      <c r="I45" s="3" t="s">
        <v>47</v>
      </c>
      <c r="J45" s="3"/>
      <c r="K45" s="3"/>
      <c r="L45" s="3"/>
      <c r="M45" s="3" t="s">
        <v>48</v>
      </c>
      <c r="N45" s="3" t="s">
        <v>49</v>
      </c>
      <c r="O45" s="3" t="s">
        <v>50</v>
      </c>
      <c r="P45" s="3"/>
      <c r="Q45" s="3" t="s">
        <v>106</v>
      </c>
      <c r="R45" s="3" t="s">
        <v>107</v>
      </c>
      <c r="S45" s="2"/>
      <c r="T45" s="2"/>
      <c r="U45" s="2"/>
      <c r="V45" s="2"/>
      <c r="W45" s="2"/>
      <c r="X45" s="2"/>
      <c r="Y45" s="2"/>
      <c r="Z45" s="2"/>
    </row>
    <row r="46" ht="14.25" customHeight="1">
      <c r="A46" s="3" t="s">
        <v>104</v>
      </c>
      <c r="B46" s="3" t="s">
        <v>105</v>
      </c>
      <c r="C46" s="3" t="str">
        <f t="array" ref="C46">IFERROR(IF(XLOOKUP(B46,Planilha1!$B:$B,Planilha1!$C:$C)=0,"",XLOOKUP(B46,Planilha1!$B:$B,Planilha1!$C:$C)),"")</f>
        <v>ZR2</v>
      </c>
      <c r="D46" s="3" t="s">
        <v>20</v>
      </c>
      <c r="E46" s="3" t="s">
        <v>108</v>
      </c>
      <c r="F46" s="3" t="s">
        <v>22</v>
      </c>
      <c r="G46" s="3" t="s">
        <v>23</v>
      </c>
      <c r="H46" s="3"/>
      <c r="I46" s="3" t="s">
        <v>47</v>
      </c>
      <c r="J46" s="3"/>
      <c r="K46" s="3"/>
      <c r="L46" s="3"/>
      <c r="M46" s="3" t="s">
        <v>48</v>
      </c>
      <c r="N46" s="3" t="s">
        <v>49</v>
      </c>
      <c r="O46" s="3" t="s">
        <v>50</v>
      </c>
      <c r="P46" s="3"/>
      <c r="Q46" s="3" t="s">
        <v>106</v>
      </c>
      <c r="R46" s="3" t="s">
        <v>109</v>
      </c>
      <c r="S46" s="2"/>
      <c r="T46" s="2"/>
      <c r="U46" s="2"/>
      <c r="V46" s="2"/>
      <c r="W46" s="2"/>
      <c r="X46" s="2"/>
      <c r="Y46" s="2"/>
      <c r="Z46" s="2"/>
    </row>
    <row r="47" ht="14.25" customHeight="1">
      <c r="A47" s="3" t="s">
        <v>104</v>
      </c>
      <c r="B47" s="3" t="s">
        <v>105</v>
      </c>
      <c r="C47" s="3" t="str">
        <f t="array" ref="C47">IFERROR(IF(XLOOKUP(B47,Planilha1!$B:$B,Planilha1!$C:$C)=0,"",XLOOKUP(B47,Planilha1!$B:$B,Planilha1!$C:$C)),"")</f>
        <v>ZR2</v>
      </c>
      <c r="D47" s="3" t="s">
        <v>25</v>
      </c>
      <c r="E47" s="3" t="s">
        <v>52</v>
      </c>
      <c r="F47" s="3" t="s">
        <v>22</v>
      </c>
      <c r="G47" s="3" t="s">
        <v>23</v>
      </c>
      <c r="H47" s="3"/>
      <c r="I47" s="3" t="s">
        <v>47</v>
      </c>
      <c r="J47" s="3"/>
      <c r="K47" s="3" t="s">
        <v>75</v>
      </c>
      <c r="L47" s="3"/>
      <c r="M47" s="3" t="s">
        <v>48</v>
      </c>
      <c r="N47" s="3" t="s">
        <v>49</v>
      </c>
      <c r="O47" s="3" t="s">
        <v>50</v>
      </c>
      <c r="P47" s="3"/>
      <c r="Q47" s="3"/>
      <c r="R47" s="3" t="s">
        <v>110</v>
      </c>
      <c r="S47" s="2"/>
      <c r="T47" s="2"/>
      <c r="U47" s="2"/>
      <c r="V47" s="2"/>
      <c r="W47" s="2"/>
      <c r="X47" s="2"/>
      <c r="Y47" s="2"/>
      <c r="Z47" s="2"/>
    </row>
    <row r="48" ht="14.25" customHeight="1">
      <c r="A48" s="3" t="s">
        <v>104</v>
      </c>
      <c r="B48" s="3" t="s">
        <v>105</v>
      </c>
      <c r="C48" s="3" t="str">
        <f t="array" ref="C48">IFERROR(IF(XLOOKUP(B48,Planilha1!$B:$B,Planilha1!$C:$C)=0,"",XLOOKUP(B48,Planilha1!$B:$B,Planilha1!$C:$C)),"")</f>
        <v>ZR2</v>
      </c>
      <c r="D48" s="3" t="s">
        <v>25</v>
      </c>
      <c r="E48" s="3" t="s">
        <v>74</v>
      </c>
      <c r="F48" s="3" t="s">
        <v>22</v>
      </c>
      <c r="G48" s="3" t="s">
        <v>23</v>
      </c>
      <c r="H48" s="3"/>
      <c r="I48" s="3" t="s">
        <v>47</v>
      </c>
      <c r="J48" s="3"/>
      <c r="K48" s="3" t="s">
        <v>75</v>
      </c>
      <c r="L48" s="3"/>
      <c r="M48" s="3" t="s">
        <v>48</v>
      </c>
      <c r="N48" s="3" t="s">
        <v>49</v>
      </c>
      <c r="O48" s="3" t="s">
        <v>50</v>
      </c>
      <c r="P48" s="3"/>
      <c r="Q48" s="3"/>
      <c r="R48" s="3" t="s">
        <v>110</v>
      </c>
      <c r="S48" s="2"/>
      <c r="T48" s="2"/>
      <c r="U48" s="2"/>
      <c r="V48" s="2"/>
      <c r="W48" s="2"/>
      <c r="X48" s="2"/>
      <c r="Y48" s="2"/>
      <c r="Z48" s="2"/>
    </row>
    <row r="49" ht="14.25" customHeight="1">
      <c r="A49" s="3" t="s">
        <v>104</v>
      </c>
      <c r="B49" s="3" t="s">
        <v>105</v>
      </c>
      <c r="C49" s="3" t="str">
        <f t="array" ref="C49">IFERROR(IF(XLOOKUP(B49,Planilha1!$B:$B,Planilha1!$C:$C)=0,"",XLOOKUP(B49,Planilha1!$B:$B,Planilha1!$C:$C)),"")</f>
        <v>ZR2</v>
      </c>
      <c r="D49" s="3" t="s">
        <v>25</v>
      </c>
      <c r="E49" s="3" t="s">
        <v>111</v>
      </c>
      <c r="F49" s="3" t="s">
        <v>22</v>
      </c>
      <c r="G49" s="3" t="s">
        <v>23</v>
      </c>
      <c r="H49" s="3"/>
      <c r="I49" s="3" t="s">
        <v>47</v>
      </c>
      <c r="J49" s="3"/>
      <c r="K49" s="3"/>
      <c r="L49" s="3"/>
      <c r="M49" s="3" t="s">
        <v>48</v>
      </c>
      <c r="N49" s="3" t="s">
        <v>49</v>
      </c>
      <c r="O49" s="3" t="s">
        <v>50</v>
      </c>
      <c r="P49" s="3"/>
      <c r="Q49" s="3"/>
      <c r="R49" s="3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3" t="s">
        <v>104</v>
      </c>
      <c r="B50" s="3" t="s">
        <v>105</v>
      </c>
      <c r="C50" s="3" t="str">
        <f t="array" ref="C50">IFERROR(IF(XLOOKUP(B50,Planilha1!$B:$B,Planilha1!$C:$C)=0,"",XLOOKUP(B50,Planilha1!$B:$B,Planilha1!$C:$C)),"")</f>
        <v>ZR2</v>
      </c>
      <c r="D50" s="3" t="s">
        <v>25</v>
      </c>
      <c r="E50" s="3" t="s">
        <v>54</v>
      </c>
      <c r="F50" s="3" t="s">
        <v>22</v>
      </c>
      <c r="G50" s="3"/>
      <c r="H50" s="3"/>
      <c r="I50" s="3"/>
      <c r="J50" s="3"/>
      <c r="K50" s="3" t="s">
        <v>75</v>
      </c>
      <c r="L50" s="3"/>
      <c r="M50" s="3"/>
      <c r="N50" s="3"/>
      <c r="O50" s="3"/>
      <c r="P50" s="3"/>
      <c r="Q50" s="3"/>
      <c r="R50" s="3" t="s">
        <v>102</v>
      </c>
      <c r="S50" s="2"/>
      <c r="T50" s="2"/>
      <c r="U50" s="2"/>
      <c r="V50" s="2"/>
      <c r="W50" s="2"/>
      <c r="X50" s="2"/>
      <c r="Y50" s="2"/>
      <c r="Z50" s="2"/>
    </row>
    <row r="51" ht="14.25" customHeight="1">
      <c r="A51" s="3" t="s">
        <v>112</v>
      </c>
      <c r="B51" s="3" t="s">
        <v>113</v>
      </c>
      <c r="C51" s="3" t="str">
        <f t="array" ref="C51">IFERROR(IF(XLOOKUP(B51,Planilha1!$B:$B,Planilha1!$C:$C)=0,"",XLOOKUP(B51,Planilha1!$B:$B,Planilha1!$C:$C)),"")</f>
        <v>ZR3</v>
      </c>
      <c r="D51" s="3" t="s">
        <v>20</v>
      </c>
      <c r="E51" s="3" t="s">
        <v>79</v>
      </c>
      <c r="F51" s="3" t="s">
        <v>22</v>
      </c>
      <c r="G51" s="3" t="s">
        <v>23</v>
      </c>
      <c r="H51" s="3"/>
      <c r="I51" s="3" t="s">
        <v>47</v>
      </c>
      <c r="J51" s="3"/>
      <c r="K51" s="3"/>
      <c r="L51" s="3"/>
      <c r="M51" s="3" t="s">
        <v>48</v>
      </c>
      <c r="N51" s="3" t="s">
        <v>49</v>
      </c>
      <c r="O51" s="3" t="s">
        <v>50</v>
      </c>
      <c r="P51" s="3"/>
      <c r="Q51" s="3" t="s">
        <v>106</v>
      </c>
      <c r="R51" s="3" t="s">
        <v>114</v>
      </c>
      <c r="S51" s="2"/>
      <c r="T51" s="2"/>
      <c r="U51" s="2"/>
      <c r="V51" s="2"/>
      <c r="W51" s="2"/>
      <c r="X51" s="2"/>
      <c r="Y51" s="2"/>
      <c r="Z51" s="2"/>
    </row>
    <row r="52" ht="14.25" customHeight="1">
      <c r="A52" s="3" t="s">
        <v>112</v>
      </c>
      <c r="B52" s="3" t="s">
        <v>113</v>
      </c>
      <c r="C52" s="3" t="str">
        <f t="array" ref="C52">IFERROR(IF(XLOOKUP(B52,Planilha1!$B:$B,Planilha1!$C:$C)=0,"",XLOOKUP(B52,Planilha1!$B:$B,Planilha1!$C:$C)),"")</f>
        <v>ZR3</v>
      </c>
      <c r="D52" s="3" t="s">
        <v>20</v>
      </c>
      <c r="E52" s="3" t="s">
        <v>115</v>
      </c>
      <c r="F52" s="3" t="s">
        <v>22</v>
      </c>
      <c r="G52" s="3" t="s">
        <v>23</v>
      </c>
      <c r="H52" s="3"/>
      <c r="I52" s="3" t="s">
        <v>116</v>
      </c>
      <c r="J52" s="3"/>
      <c r="K52" s="3"/>
      <c r="L52" s="3"/>
      <c r="M52" s="3" t="s">
        <v>48</v>
      </c>
      <c r="N52" s="3" t="s">
        <v>49</v>
      </c>
      <c r="O52" s="3" t="s">
        <v>50</v>
      </c>
      <c r="P52" s="3" t="s">
        <v>117</v>
      </c>
      <c r="Q52" s="3" t="s">
        <v>106</v>
      </c>
      <c r="R52" s="3" t="s">
        <v>118</v>
      </c>
      <c r="S52" s="2"/>
      <c r="T52" s="2"/>
      <c r="U52" s="2"/>
      <c r="V52" s="2"/>
      <c r="W52" s="2"/>
      <c r="X52" s="2"/>
      <c r="Y52" s="2"/>
      <c r="Z52" s="2"/>
    </row>
    <row r="53" ht="14.25" customHeight="1">
      <c r="A53" s="3" t="s">
        <v>112</v>
      </c>
      <c r="B53" s="3" t="s">
        <v>113</v>
      </c>
      <c r="C53" s="3" t="str">
        <f t="array" ref="C53">IFERROR(IF(XLOOKUP(B53,Planilha1!$B:$B,Planilha1!$C:$C)=0,"",XLOOKUP(B53,Planilha1!$B:$B,Planilha1!$C:$C)),"")</f>
        <v>ZR3</v>
      </c>
      <c r="D53" s="3" t="s">
        <v>25</v>
      </c>
      <c r="E53" s="3" t="s">
        <v>52</v>
      </c>
      <c r="F53" s="3" t="s">
        <v>22</v>
      </c>
      <c r="G53" s="3" t="s">
        <v>23</v>
      </c>
      <c r="H53" s="3"/>
      <c r="I53" s="3" t="s">
        <v>47</v>
      </c>
      <c r="J53" s="3"/>
      <c r="K53" s="3" t="s">
        <v>75</v>
      </c>
      <c r="L53" s="3"/>
      <c r="M53" s="3" t="s">
        <v>48</v>
      </c>
      <c r="N53" s="3" t="s">
        <v>49</v>
      </c>
      <c r="O53" s="3" t="s">
        <v>50</v>
      </c>
      <c r="P53" s="3"/>
      <c r="Q53" s="3"/>
      <c r="R53" s="3" t="s">
        <v>110</v>
      </c>
      <c r="S53" s="2"/>
      <c r="T53" s="2"/>
      <c r="U53" s="2"/>
      <c r="V53" s="2"/>
      <c r="W53" s="2"/>
      <c r="X53" s="2"/>
      <c r="Y53" s="2"/>
      <c r="Z53" s="2"/>
    </row>
    <row r="54" ht="14.25" customHeight="1">
      <c r="A54" s="3" t="s">
        <v>112</v>
      </c>
      <c r="B54" s="3" t="s">
        <v>113</v>
      </c>
      <c r="C54" s="3" t="str">
        <f t="array" ref="C54">IFERROR(IF(XLOOKUP(B54,Planilha1!$B:$B,Planilha1!$C:$C)=0,"",XLOOKUP(B54,Planilha1!$B:$B,Planilha1!$C:$C)),"")</f>
        <v>ZR3</v>
      </c>
      <c r="D54" s="3" t="s">
        <v>25</v>
      </c>
      <c r="E54" s="3" t="s">
        <v>119</v>
      </c>
      <c r="F54" s="3" t="s">
        <v>22</v>
      </c>
      <c r="G54" s="3" t="s">
        <v>23</v>
      </c>
      <c r="H54" s="3"/>
      <c r="I54" s="3" t="s">
        <v>47</v>
      </c>
      <c r="J54" s="3"/>
      <c r="K54" s="3" t="s">
        <v>75</v>
      </c>
      <c r="L54" s="3"/>
      <c r="M54" s="3" t="s">
        <v>48</v>
      </c>
      <c r="N54" s="3" t="s">
        <v>49</v>
      </c>
      <c r="O54" s="3" t="s">
        <v>50</v>
      </c>
      <c r="P54" s="3"/>
      <c r="Q54" s="3"/>
      <c r="R54" s="3" t="s">
        <v>110</v>
      </c>
      <c r="S54" s="2"/>
      <c r="T54" s="2"/>
      <c r="U54" s="2"/>
      <c r="V54" s="2"/>
      <c r="W54" s="2"/>
      <c r="X54" s="2"/>
      <c r="Y54" s="2"/>
      <c r="Z54" s="2"/>
    </row>
    <row r="55" ht="14.25" customHeight="1">
      <c r="A55" s="3" t="s">
        <v>112</v>
      </c>
      <c r="B55" s="3" t="s">
        <v>113</v>
      </c>
      <c r="C55" s="3" t="str">
        <f t="array" ref="C55">IFERROR(IF(XLOOKUP(B55,Planilha1!$B:$B,Planilha1!$C:$C)=0,"",XLOOKUP(B55,Planilha1!$B:$B,Planilha1!$C:$C)),"")</f>
        <v>ZR3</v>
      </c>
      <c r="D55" s="3" t="s">
        <v>25</v>
      </c>
      <c r="E55" s="3" t="s">
        <v>111</v>
      </c>
      <c r="F55" s="3" t="s">
        <v>22</v>
      </c>
      <c r="G55" s="3" t="s">
        <v>23</v>
      </c>
      <c r="H55" s="3"/>
      <c r="I55" s="3" t="s">
        <v>47</v>
      </c>
      <c r="J55" s="3"/>
      <c r="K55" s="3"/>
      <c r="L55" s="3"/>
      <c r="M55" s="3" t="s">
        <v>48</v>
      </c>
      <c r="N55" s="3" t="s">
        <v>49</v>
      </c>
      <c r="O55" s="3" t="s">
        <v>50</v>
      </c>
      <c r="P55" s="3"/>
      <c r="Q55" s="3"/>
      <c r="R55" s="3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3" t="s">
        <v>112</v>
      </c>
      <c r="B56" s="3" t="s">
        <v>113</v>
      </c>
      <c r="C56" s="3" t="str">
        <f t="array" ref="C56">IFERROR(IF(XLOOKUP(B56,Planilha1!$B:$B,Planilha1!$C:$C)=0,"",XLOOKUP(B56,Planilha1!$B:$B,Planilha1!$C:$C)),"")</f>
        <v>ZR3</v>
      </c>
      <c r="D56" s="3" t="s">
        <v>25</v>
      </c>
      <c r="E56" s="3" t="s">
        <v>92</v>
      </c>
      <c r="F56" s="3" t="s">
        <v>22</v>
      </c>
      <c r="G56" s="3"/>
      <c r="H56" s="3"/>
      <c r="I56" s="3"/>
      <c r="J56" s="3"/>
      <c r="K56" s="3" t="s">
        <v>75</v>
      </c>
      <c r="L56" s="3"/>
      <c r="M56" s="3"/>
      <c r="N56" s="3"/>
      <c r="O56" s="3"/>
      <c r="P56" s="3"/>
      <c r="Q56" s="3"/>
      <c r="R56" s="3" t="s">
        <v>102</v>
      </c>
      <c r="S56" s="2"/>
      <c r="T56" s="2"/>
      <c r="U56" s="2"/>
      <c r="V56" s="2"/>
      <c r="W56" s="2"/>
      <c r="X56" s="2"/>
      <c r="Y56" s="2"/>
      <c r="Z56" s="2"/>
    </row>
    <row r="57" ht="14.25" customHeight="1">
      <c r="A57" s="3" t="s">
        <v>120</v>
      </c>
      <c r="B57" s="3" t="s">
        <v>121</v>
      </c>
      <c r="C57" s="3" t="str">
        <f t="array" ref="C57">IFERROR(IF(XLOOKUP(B57,Planilha1!$B:$B,Planilha1!$C:$C)=0,"",XLOOKUP(B57,Planilha1!$B:$B,Planilha1!$C:$C)),"")</f>
        <v>ZR3-T</v>
      </c>
      <c r="D57" s="3" t="s">
        <v>20</v>
      </c>
      <c r="E57" s="3" t="s">
        <v>122</v>
      </c>
      <c r="F57" s="3" t="s">
        <v>22</v>
      </c>
      <c r="G57" s="3" t="s">
        <v>23</v>
      </c>
      <c r="H57" s="3"/>
      <c r="I57" s="3" t="s">
        <v>89</v>
      </c>
      <c r="J57" s="3"/>
      <c r="K57" s="3"/>
      <c r="L57" s="3"/>
      <c r="M57" s="3" t="s">
        <v>48</v>
      </c>
      <c r="N57" s="3" t="s">
        <v>49</v>
      </c>
      <c r="O57" s="3" t="s">
        <v>50</v>
      </c>
      <c r="P57" s="3" t="s">
        <v>123</v>
      </c>
      <c r="Q57" s="3" t="s">
        <v>124</v>
      </c>
      <c r="R57" s="3" t="s">
        <v>125</v>
      </c>
      <c r="S57" s="2"/>
      <c r="T57" s="2"/>
      <c r="U57" s="2"/>
      <c r="V57" s="2"/>
      <c r="W57" s="2"/>
      <c r="X57" s="2"/>
      <c r="Y57" s="2"/>
      <c r="Z57" s="2"/>
    </row>
    <row r="58" ht="14.25" customHeight="1">
      <c r="A58" s="3" t="s">
        <v>120</v>
      </c>
      <c r="B58" s="3" t="s">
        <v>121</v>
      </c>
      <c r="C58" s="3" t="str">
        <f t="array" ref="C58">IFERROR(IF(XLOOKUP(B58,Planilha1!$B:$B,Planilha1!$C:$C)=0,"",XLOOKUP(B58,Planilha1!$B:$B,Planilha1!$C:$C)),"")</f>
        <v>ZR3-T</v>
      </c>
      <c r="D58" s="3" t="s">
        <v>25</v>
      </c>
      <c r="E58" s="3" t="s">
        <v>126</v>
      </c>
      <c r="F58" s="3" t="s">
        <v>22</v>
      </c>
      <c r="G58" s="3" t="s">
        <v>23</v>
      </c>
      <c r="H58" s="3"/>
      <c r="I58" s="3" t="s">
        <v>47</v>
      </c>
      <c r="J58" s="3"/>
      <c r="K58" s="3" t="s">
        <v>75</v>
      </c>
      <c r="L58" s="3"/>
      <c r="M58" s="3" t="s">
        <v>48</v>
      </c>
      <c r="N58" s="3" t="s">
        <v>49</v>
      </c>
      <c r="O58" s="3" t="s">
        <v>50</v>
      </c>
      <c r="P58" s="3"/>
      <c r="Q58" s="3"/>
      <c r="R58" s="3" t="s">
        <v>110</v>
      </c>
      <c r="S58" s="2"/>
      <c r="T58" s="2"/>
      <c r="U58" s="2"/>
      <c r="V58" s="2"/>
      <c r="W58" s="2"/>
      <c r="X58" s="2"/>
      <c r="Y58" s="2"/>
      <c r="Z58" s="2"/>
    </row>
    <row r="59" ht="14.25" customHeight="1">
      <c r="A59" s="3" t="s">
        <v>120</v>
      </c>
      <c r="B59" s="3" t="s">
        <v>121</v>
      </c>
      <c r="C59" s="3" t="str">
        <f t="array" ref="C59">IFERROR(IF(XLOOKUP(B59,Planilha1!$B:$B,Planilha1!$C:$C)=0,"",XLOOKUP(B59,Planilha1!$B:$B,Planilha1!$C:$C)),"")</f>
        <v>ZR3-T</v>
      </c>
      <c r="D59" s="3" t="s">
        <v>25</v>
      </c>
      <c r="E59" s="3" t="s">
        <v>127</v>
      </c>
      <c r="F59" s="3" t="s">
        <v>22</v>
      </c>
      <c r="G59" s="3" t="s">
        <v>23</v>
      </c>
      <c r="H59" s="3"/>
      <c r="I59" s="3" t="s">
        <v>47</v>
      </c>
      <c r="J59" s="3"/>
      <c r="K59" s="3"/>
      <c r="L59" s="3"/>
      <c r="M59" s="3" t="s">
        <v>48</v>
      </c>
      <c r="N59" s="3" t="s">
        <v>49</v>
      </c>
      <c r="O59" s="3" t="s">
        <v>50</v>
      </c>
      <c r="P59" s="3"/>
      <c r="Q59" s="3"/>
      <c r="R59" s="3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3" t="s">
        <v>120</v>
      </c>
      <c r="B60" s="3" t="s">
        <v>121</v>
      </c>
      <c r="C60" s="3" t="str">
        <f t="array" ref="C60">IFERROR(IF(XLOOKUP(B60,Planilha1!$B:$B,Planilha1!$C:$C)=0,"",XLOOKUP(B60,Planilha1!$B:$B,Planilha1!$C:$C)),"")</f>
        <v>ZR3-T</v>
      </c>
      <c r="D60" s="3" t="s">
        <v>25</v>
      </c>
      <c r="E60" s="3" t="s">
        <v>92</v>
      </c>
      <c r="F60" s="3" t="s">
        <v>22</v>
      </c>
      <c r="G60" s="3"/>
      <c r="H60" s="3"/>
      <c r="I60" s="3"/>
      <c r="J60" s="3"/>
      <c r="K60" s="3" t="s">
        <v>59</v>
      </c>
      <c r="L60" s="3"/>
      <c r="M60" s="3"/>
      <c r="N60" s="3"/>
      <c r="O60" s="3"/>
      <c r="P60" s="3"/>
      <c r="Q60" s="3"/>
      <c r="R60" s="3" t="s">
        <v>102</v>
      </c>
      <c r="S60" s="2"/>
      <c r="T60" s="2"/>
      <c r="U60" s="2"/>
      <c r="V60" s="2"/>
      <c r="W60" s="2"/>
      <c r="X60" s="2"/>
      <c r="Y60" s="2"/>
      <c r="Z60" s="2"/>
    </row>
    <row r="61" ht="14.25" customHeight="1">
      <c r="A61" s="3" t="s">
        <v>128</v>
      </c>
      <c r="B61" s="3" t="s">
        <v>129</v>
      </c>
      <c r="C61" s="3" t="str">
        <f t="array" ref="C61">IFERROR(IF(XLOOKUP(B61,Planilha1!$B:$B,Planilha1!$C:$C)=0,"",XLOOKUP(B61,Planilha1!$B:$B,Planilha1!$C:$C)),"")</f>
        <v>ZR4</v>
      </c>
      <c r="D61" s="3" t="s">
        <v>20</v>
      </c>
      <c r="E61" s="3" t="s">
        <v>130</v>
      </c>
      <c r="F61" s="3" t="s">
        <v>22</v>
      </c>
      <c r="G61" s="3" t="s">
        <v>23</v>
      </c>
      <c r="H61" s="3"/>
      <c r="I61" s="3" t="s">
        <v>47</v>
      </c>
      <c r="J61" s="3"/>
      <c r="K61" s="3"/>
      <c r="L61" s="3"/>
      <c r="M61" s="3" t="s">
        <v>48</v>
      </c>
      <c r="N61" s="3" t="s">
        <v>49</v>
      </c>
      <c r="O61" s="3" t="s">
        <v>50</v>
      </c>
      <c r="P61" s="3"/>
      <c r="Q61" s="3" t="s">
        <v>124</v>
      </c>
      <c r="R61" s="3" t="s">
        <v>107</v>
      </c>
      <c r="S61" s="2"/>
      <c r="T61" s="2"/>
      <c r="U61" s="2"/>
      <c r="V61" s="2"/>
      <c r="W61" s="2"/>
      <c r="X61" s="2"/>
      <c r="Y61" s="2"/>
      <c r="Z61" s="2"/>
    </row>
    <row r="62" ht="14.25" customHeight="1">
      <c r="A62" s="3" t="s">
        <v>128</v>
      </c>
      <c r="B62" s="3" t="s">
        <v>129</v>
      </c>
      <c r="C62" s="3" t="str">
        <f t="array" ref="C62">IFERROR(IF(XLOOKUP(B62,Planilha1!$B:$B,Planilha1!$C:$C)=0,"",XLOOKUP(B62,Planilha1!$B:$B,Planilha1!$C:$C)),"")</f>
        <v>ZR4</v>
      </c>
      <c r="D62" s="3" t="s">
        <v>20</v>
      </c>
      <c r="E62" s="3" t="s">
        <v>131</v>
      </c>
      <c r="F62" s="3" t="s">
        <v>22</v>
      </c>
      <c r="G62" s="3" t="s">
        <v>47</v>
      </c>
      <c r="H62" s="3"/>
      <c r="I62" s="3" t="s">
        <v>132</v>
      </c>
      <c r="J62" s="3"/>
      <c r="K62" s="3"/>
      <c r="L62" s="3"/>
      <c r="M62" s="3" t="s">
        <v>48</v>
      </c>
      <c r="N62" s="3" t="s">
        <v>49</v>
      </c>
      <c r="O62" s="3" t="s">
        <v>50</v>
      </c>
      <c r="P62" s="3" t="s">
        <v>133</v>
      </c>
      <c r="Q62" s="3" t="s">
        <v>124</v>
      </c>
      <c r="R62" s="3" t="s">
        <v>134</v>
      </c>
      <c r="S62" s="2"/>
      <c r="T62" s="2"/>
      <c r="U62" s="2"/>
      <c r="V62" s="2"/>
      <c r="W62" s="2"/>
      <c r="X62" s="2"/>
      <c r="Y62" s="2"/>
      <c r="Z62" s="2"/>
    </row>
    <row r="63" ht="14.25" customHeight="1">
      <c r="A63" s="3" t="s">
        <v>128</v>
      </c>
      <c r="B63" s="3" t="s">
        <v>129</v>
      </c>
      <c r="C63" s="3" t="str">
        <f t="array" ref="C63">IFERROR(IF(XLOOKUP(B63,Planilha1!$B:$B,Planilha1!$C:$C)=0,"",XLOOKUP(B63,Planilha1!$B:$B,Planilha1!$C:$C)),"")</f>
        <v>ZR4</v>
      </c>
      <c r="D63" s="3" t="s">
        <v>25</v>
      </c>
      <c r="E63" s="3" t="s">
        <v>135</v>
      </c>
      <c r="F63" s="3" t="s">
        <v>22</v>
      </c>
      <c r="G63" s="3" t="s">
        <v>23</v>
      </c>
      <c r="H63" s="3"/>
      <c r="I63" s="3" t="s">
        <v>47</v>
      </c>
      <c r="J63" s="3"/>
      <c r="K63" s="3" t="s">
        <v>75</v>
      </c>
      <c r="L63" s="3"/>
      <c r="M63" s="3" t="s">
        <v>48</v>
      </c>
      <c r="N63" s="3" t="s">
        <v>49</v>
      </c>
      <c r="O63" s="3" t="s">
        <v>50</v>
      </c>
      <c r="P63" s="3"/>
      <c r="Q63" s="3"/>
      <c r="R63" s="3" t="s">
        <v>110</v>
      </c>
      <c r="S63" s="2"/>
      <c r="T63" s="2"/>
      <c r="U63" s="2"/>
      <c r="V63" s="2"/>
      <c r="W63" s="2"/>
      <c r="X63" s="2"/>
      <c r="Y63" s="2"/>
      <c r="Z63" s="2"/>
    </row>
    <row r="64" ht="14.25" customHeight="1">
      <c r="A64" s="3" t="s">
        <v>128</v>
      </c>
      <c r="B64" s="3" t="s">
        <v>129</v>
      </c>
      <c r="C64" s="3" t="str">
        <f t="array" ref="C64">IFERROR(IF(XLOOKUP(B64,Planilha1!$B:$B,Planilha1!$C:$C)=0,"",XLOOKUP(B64,Planilha1!$B:$B,Planilha1!$C:$C)),"")</f>
        <v>ZR4</v>
      </c>
      <c r="D64" s="3" t="s">
        <v>25</v>
      </c>
      <c r="E64" s="3" t="s">
        <v>136</v>
      </c>
      <c r="F64" s="3" t="s">
        <v>22</v>
      </c>
      <c r="G64" s="3" t="s">
        <v>23</v>
      </c>
      <c r="H64" s="3"/>
      <c r="I64" s="3" t="s">
        <v>47</v>
      </c>
      <c r="J64" s="3"/>
      <c r="K64" s="3"/>
      <c r="L64" s="3"/>
      <c r="M64" s="3" t="s">
        <v>48</v>
      </c>
      <c r="N64" s="3" t="s">
        <v>49</v>
      </c>
      <c r="O64" s="3" t="s">
        <v>50</v>
      </c>
      <c r="P64" s="3"/>
      <c r="Q64" s="3"/>
      <c r="R64" s="3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3" t="s">
        <v>128</v>
      </c>
      <c r="B65" s="3" t="s">
        <v>129</v>
      </c>
      <c r="C65" s="3" t="str">
        <f t="array" ref="C65">IFERROR(IF(XLOOKUP(B65,Planilha1!$B:$B,Planilha1!$C:$C)=0,"",XLOOKUP(B65,Planilha1!$B:$B,Planilha1!$C:$C)),"")</f>
        <v>ZR4</v>
      </c>
      <c r="D65" s="3" t="s">
        <v>25</v>
      </c>
      <c r="E65" s="3" t="s">
        <v>92</v>
      </c>
      <c r="F65" s="3" t="s">
        <v>22</v>
      </c>
      <c r="G65" s="3"/>
      <c r="H65" s="3"/>
      <c r="I65" s="3"/>
      <c r="J65" s="3"/>
      <c r="K65" s="3" t="s">
        <v>75</v>
      </c>
      <c r="L65" s="3"/>
      <c r="M65" s="3"/>
      <c r="N65" s="3"/>
      <c r="O65" s="3"/>
      <c r="P65" s="3"/>
      <c r="Q65" s="3"/>
      <c r="R65" s="3" t="s">
        <v>102</v>
      </c>
      <c r="S65" s="2"/>
      <c r="T65" s="2"/>
      <c r="U65" s="2"/>
      <c r="V65" s="2"/>
      <c r="W65" s="2"/>
      <c r="X65" s="2"/>
      <c r="Y65" s="2"/>
      <c r="Z65" s="2"/>
    </row>
    <row r="66" ht="14.25" customHeight="1">
      <c r="A66" s="2" t="s">
        <v>137</v>
      </c>
      <c r="B66" s="2" t="s">
        <v>138</v>
      </c>
      <c r="C66" s="3" t="str">
        <f t="array" ref="C66">IFERROR(IF(XLOOKUP(B66,Planilha1!$B:$B,Planilha1!$C:$C)=0,"",XLOOKUP(B66,Planilha1!$B:$B,Planilha1!$C:$C)),"")</f>
        <v>ZUM-1</v>
      </c>
      <c r="D66" s="2" t="s">
        <v>20</v>
      </c>
      <c r="E66" s="2" t="s">
        <v>139</v>
      </c>
      <c r="F66" s="2" t="s">
        <v>22</v>
      </c>
      <c r="G66" s="2" t="s">
        <v>23</v>
      </c>
      <c r="H66" s="2"/>
      <c r="I66" s="2" t="s">
        <v>47</v>
      </c>
      <c r="J66" s="2"/>
      <c r="K66" s="2"/>
      <c r="L66" s="2"/>
      <c r="M66" s="2" t="s">
        <v>48</v>
      </c>
      <c r="N66" s="2" t="s">
        <v>49</v>
      </c>
      <c r="O66" s="2" t="s">
        <v>50</v>
      </c>
      <c r="P66" s="2" t="s">
        <v>123</v>
      </c>
      <c r="Q66" s="2"/>
      <c r="R66" s="2" t="s">
        <v>140</v>
      </c>
      <c r="S66" s="2"/>
      <c r="T66" s="2"/>
      <c r="U66" s="2"/>
      <c r="V66" s="2"/>
      <c r="W66" s="2"/>
      <c r="X66" s="2"/>
      <c r="Y66" s="2"/>
      <c r="Z66" s="2"/>
    </row>
    <row r="67" ht="14.25" customHeight="1">
      <c r="A67" s="2" t="s">
        <v>137</v>
      </c>
      <c r="B67" s="2" t="s">
        <v>138</v>
      </c>
      <c r="C67" s="3" t="str">
        <f t="array" ref="C67">IFERROR(IF(XLOOKUP(B67,Planilha1!$B:$B,Planilha1!$C:$C)=0,"",XLOOKUP(B67,Planilha1!$B:$B,Planilha1!$C:$C)),"")</f>
        <v>ZUM-1</v>
      </c>
      <c r="D67" s="2" t="s">
        <v>25</v>
      </c>
      <c r="E67" s="2" t="s">
        <v>141</v>
      </c>
      <c r="F67" s="2" t="s">
        <v>22</v>
      </c>
      <c r="G67" s="2" t="s">
        <v>23</v>
      </c>
      <c r="H67" s="2"/>
      <c r="I67" s="2" t="s">
        <v>89</v>
      </c>
      <c r="J67" s="2"/>
      <c r="K67" s="2"/>
      <c r="L67" s="2"/>
      <c r="M67" s="2" t="s">
        <v>48</v>
      </c>
      <c r="N67" s="2" t="s">
        <v>49</v>
      </c>
      <c r="O67" s="2" t="s">
        <v>50</v>
      </c>
      <c r="P67" s="2" t="s">
        <v>123</v>
      </c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2" t="s">
        <v>137</v>
      </c>
      <c r="B68" s="2" t="s">
        <v>138</v>
      </c>
      <c r="C68" s="3" t="str">
        <f t="array" ref="C68">IFERROR(IF(XLOOKUP(B68,Planilha1!$B:$B,Planilha1!$C:$C)=0,"",XLOOKUP(B68,Planilha1!$B:$B,Planilha1!$C:$C)),"")</f>
        <v>ZUM-1</v>
      </c>
      <c r="D68" s="2" t="s">
        <v>25</v>
      </c>
      <c r="E68" s="2" t="s">
        <v>54</v>
      </c>
      <c r="F68" s="2" t="s">
        <v>22</v>
      </c>
      <c r="G68" s="2"/>
      <c r="H68" s="2"/>
      <c r="I68" s="2"/>
      <c r="J68" s="2"/>
      <c r="K68" s="2" t="s">
        <v>59</v>
      </c>
      <c r="L68" s="2"/>
      <c r="M68" s="2"/>
      <c r="N68" s="2"/>
      <c r="O68" s="2"/>
      <c r="P68" s="2"/>
      <c r="Q68" s="2"/>
      <c r="R68" s="2" t="s">
        <v>102</v>
      </c>
      <c r="S68" s="2"/>
      <c r="T68" s="2"/>
      <c r="U68" s="2"/>
      <c r="V68" s="2"/>
      <c r="W68" s="2"/>
      <c r="X68" s="2"/>
      <c r="Y68" s="2"/>
      <c r="Z68" s="2"/>
    </row>
    <row r="69" ht="14.25" customHeight="1">
      <c r="A69" s="2" t="s">
        <v>142</v>
      </c>
      <c r="B69" s="2" t="s">
        <v>143</v>
      </c>
      <c r="C69" s="3" t="str">
        <f t="array" ref="C69">IFERROR(IF(XLOOKUP(B69,Planilha1!$B:$B,Planilha1!$C:$C)=0,"",XLOOKUP(B69,Planilha1!$B:$B,Planilha1!$C:$C)),"")</f>
        <v>ZUM-2</v>
      </c>
      <c r="D69" s="2" t="s">
        <v>20</v>
      </c>
      <c r="E69" s="2" t="s">
        <v>144</v>
      </c>
      <c r="F69" s="2" t="s">
        <v>22</v>
      </c>
      <c r="G69" s="2" t="s">
        <v>23</v>
      </c>
      <c r="H69" s="2"/>
      <c r="I69" s="2" t="s">
        <v>47</v>
      </c>
      <c r="J69" s="2"/>
      <c r="K69" s="2"/>
      <c r="L69" s="2"/>
      <c r="M69" s="2" t="s">
        <v>48</v>
      </c>
      <c r="N69" s="2" t="s">
        <v>49</v>
      </c>
      <c r="O69" s="2" t="s">
        <v>50</v>
      </c>
      <c r="P69" s="2" t="s">
        <v>123</v>
      </c>
      <c r="Q69" s="2" t="s">
        <v>124</v>
      </c>
      <c r="R69" s="2" t="s">
        <v>145</v>
      </c>
      <c r="S69" s="2"/>
      <c r="T69" s="2"/>
      <c r="U69" s="2"/>
      <c r="V69" s="2"/>
      <c r="W69" s="2"/>
      <c r="X69" s="2"/>
      <c r="Y69" s="2"/>
      <c r="Z69" s="2"/>
    </row>
    <row r="70" ht="14.25" customHeight="1">
      <c r="A70" s="2" t="s">
        <v>142</v>
      </c>
      <c r="B70" s="2" t="s">
        <v>143</v>
      </c>
      <c r="C70" s="3" t="str">
        <f t="array" ref="C70">IFERROR(IF(XLOOKUP(B70,Planilha1!$B:$B,Planilha1!$C:$C)=0,"",XLOOKUP(B70,Planilha1!$B:$B,Planilha1!$C:$C)),"")</f>
        <v>ZUM-2</v>
      </c>
      <c r="D70" s="2" t="s">
        <v>25</v>
      </c>
      <c r="E70" s="2" t="s">
        <v>146</v>
      </c>
      <c r="F70" s="2" t="s">
        <v>22</v>
      </c>
      <c r="G70" s="2" t="s">
        <v>23</v>
      </c>
      <c r="H70" s="2"/>
      <c r="I70" s="2" t="s">
        <v>132</v>
      </c>
      <c r="J70" s="2"/>
      <c r="K70" s="2" t="s">
        <v>75</v>
      </c>
      <c r="L70" s="2"/>
      <c r="M70" s="2" t="s">
        <v>48</v>
      </c>
      <c r="N70" s="2" t="s">
        <v>49</v>
      </c>
      <c r="O70" s="2" t="s">
        <v>50</v>
      </c>
      <c r="P70" s="2" t="s">
        <v>123</v>
      </c>
      <c r="Q70" s="2"/>
      <c r="R70" s="2" t="s">
        <v>110</v>
      </c>
      <c r="S70" s="2"/>
      <c r="T70" s="2"/>
      <c r="U70" s="2"/>
      <c r="V70" s="2"/>
      <c r="W70" s="2"/>
      <c r="X70" s="2"/>
      <c r="Y70" s="2"/>
      <c r="Z70" s="2"/>
    </row>
    <row r="71" ht="14.25" customHeight="1">
      <c r="A71" s="2" t="s">
        <v>142</v>
      </c>
      <c r="B71" s="2" t="s">
        <v>143</v>
      </c>
      <c r="C71" s="3" t="str">
        <f t="array" ref="C71">IFERROR(IF(XLOOKUP(B71,Planilha1!$B:$B,Planilha1!$C:$C)=0,"",XLOOKUP(B71,Planilha1!$B:$B,Planilha1!$C:$C)),"")</f>
        <v>ZUM-2</v>
      </c>
      <c r="D71" s="2" t="s">
        <v>25</v>
      </c>
      <c r="E71" s="2" t="s">
        <v>54</v>
      </c>
      <c r="F71" s="2" t="s">
        <v>22</v>
      </c>
      <c r="G71" s="2"/>
      <c r="H71" s="2"/>
      <c r="I71" s="2"/>
      <c r="J71" s="2"/>
      <c r="K71" s="2" t="s">
        <v>59</v>
      </c>
      <c r="L71" s="2"/>
      <c r="M71" s="2"/>
      <c r="N71" s="2"/>
      <c r="O71" s="2"/>
      <c r="P71" s="2"/>
      <c r="Q71" s="2"/>
      <c r="R71" s="2" t="s">
        <v>102</v>
      </c>
      <c r="S71" s="2"/>
      <c r="T71" s="2"/>
      <c r="U71" s="2"/>
      <c r="V71" s="2"/>
      <c r="W71" s="2"/>
      <c r="X71" s="2"/>
      <c r="Y71" s="2"/>
      <c r="Z71" s="2"/>
    </row>
    <row r="72" ht="14.25" customHeight="1">
      <c r="A72" s="2" t="s">
        <v>147</v>
      </c>
      <c r="B72" s="2" t="s">
        <v>148</v>
      </c>
      <c r="C72" s="3" t="str">
        <f t="array" ref="C72">IFERROR(IF(XLOOKUP(B72,Planilha1!$B:$B,Planilha1!$C:$C)=0,"",XLOOKUP(B72,Planilha1!$B:$B,Planilha1!$C:$C)),"")</f>
        <v>ZUM-3</v>
      </c>
      <c r="D72" s="2" t="s">
        <v>20</v>
      </c>
      <c r="E72" s="2" t="s">
        <v>122</v>
      </c>
      <c r="F72" s="2" t="s">
        <v>22</v>
      </c>
      <c r="G72" s="2" t="s">
        <v>23</v>
      </c>
      <c r="H72" s="2"/>
      <c r="I72" s="2" t="s">
        <v>47</v>
      </c>
      <c r="J72" s="2"/>
      <c r="K72" s="2"/>
      <c r="L72" s="2"/>
      <c r="M72" s="2" t="s">
        <v>48</v>
      </c>
      <c r="N72" s="2" t="s">
        <v>49</v>
      </c>
      <c r="O72" s="2" t="s">
        <v>50</v>
      </c>
      <c r="P72" s="2" t="s">
        <v>123</v>
      </c>
      <c r="Q72" s="2" t="s">
        <v>106</v>
      </c>
      <c r="R72" s="2" t="s">
        <v>145</v>
      </c>
      <c r="S72" s="2"/>
      <c r="T72" s="2"/>
      <c r="U72" s="2"/>
      <c r="V72" s="2"/>
      <c r="W72" s="2"/>
      <c r="X72" s="2"/>
      <c r="Y72" s="2"/>
      <c r="Z72" s="2"/>
    </row>
    <row r="73" ht="14.25" customHeight="1">
      <c r="A73" s="2" t="s">
        <v>147</v>
      </c>
      <c r="B73" s="2" t="s">
        <v>148</v>
      </c>
      <c r="C73" s="3" t="str">
        <f t="array" ref="C73">IFERROR(IF(XLOOKUP(B73,Planilha1!$B:$B,Planilha1!$C:$C)=0,"",XLOOKUP(B73,Planilha1!$B:$B,Planilha1!$C:$C)),"")</f>
        <v>ZUM-3</v>
      </c>
      <c r="D73" s="2" t="s">
        <v>25</v>
      </c>
      <c r="E73" s="2" t="s">
        <v>149</v>
      </c>
      <c r="F73" s="2" t="s">
        <v>22</v>
      </c>
      <c r="G73" s="2" t="s">
        <v>23</v>
      </c>
      <c r="H73" s="2"/>
      <c r="I73" s="2" t="s">
        <v>89</v>
      </c>
      <c r="J73" s="2"/>
      <c r="K73" s="2" t="s">
        <v>75</v>
      </c>
      <c r="L73" s="2"/>
      <c r="M73" s="2" t="s">
        <v>48</v>
      </c>
      <c r="N73" s="2" t="s">
        <v>49</v>
      </c>
      <c r="O73" s="2" t="s">
        <v>50</v>
      </c>
      <c r="P73" s="2" t="s">
        <v>123</v>
      </c>
      <c r="Q73" s="2"/>
      <c r="R73" s="2" t="s">
        <v>110</v>
      </c>
      <c r="S73" s="2"/>
      <c r="T73" s="2"/>
      <c r="U73" s="2"/>
      <c r="V73" s="2"/>
      <c r="W73" s="2"/>
      <c r="X73" s="2"/>
      <c r="Y73" s="2"/>
      <c r="Z73" s="2"/>
    </row>
    <row r="74" ht="14.25" customHeight="1">
      <c r="A74" s="2" t="s">
        <v>147</v>
      </c>
      <c r="B74" s="2" t="s">
        <v>148</v>
      </c>
      <c r="C74" s="3" t="str">
        <f t="array" ref="C74">IFERROR(IF(XLOOKUP(B74,Planilha1!$B:$B,Planilha1!$C:$C)=0,"",XLOOKUP(B74,Planilha1!$B:$B,Planilha1!$C:$C)),"")</f>
        <v>ZUM-3</v>
      </c>
      <c r="D74" s="2" t="s">
        <v>25</v>
      </c>
      <c r="E74" s="2" t="s">
        <v>54</v>
      </c>
      <c r="F74" s="2" t="s">
        <v>22</v>
      </c>
      <c r="G74" s="2"/>
      <c r="H74" s="2"/>
      <c r="I74" s="2"/>
      <c r="J74" s="2"/>
      <c r="K74" s="2" t="s">
        <v>59</v>
      </c>
      <c r="L74" s="2"/>
      <c r="M74" s="2"/>
      <c r="N74" s="2"/>
      <c r="O74" s="2"/>
      <c r="P74" s="2"/>
      <c r="Q74" s="2"/>
      <c r="R74" s="2" t="s">
        <v>102</v>
      </c>
      <c r="S74" s="2"/>
      <c r="T74" s="2"/>
      <c r="U74" s="2"/>
      <c r="V74" s="2"/>
      <c r="W74" s="2"/>
      <c r="X74" s="2"/>
      <c r="Y74" s="2"/>
      <c r="Z74" s="2"/>
    </row>
    <row r="75" ht="14.25" customHeight="1">
      <c r="A75" s="2" t="s">
        <v>150</v>
      </c>
      <c r="B75" s="2" t="s">
        <v>151</v>
      </c>
      <c r="C75" s="3" t="str">
        <f t="array" ref="C75">IFERROR(IF(XLOOKUP(B75,Planilha1!$B:$B,Planilha1!$C:$C)=0,"",XLOOKUP(B75,Planilha1!$B:$B,Planilha1!$C:$C)),"")</f>
        <v>ZE</v>
      </c>
      <c r="D75" s="2" t="s">
        <v>20</v>
      </c>
      <c r="E75" s="2" t="s">
        <v>79</v>
      </c>
      <c r="F75" s="2" t="s">
        <v>22</v>
      </c>
      <c r="G75" s="2" t="s">
        <v>152</v>
      </c>
      <c r="H75" s="2"/>
      <c r="I75" s="2" t="s">
        <v>47</v>
      </c>
      <c r="J75" s="2"/>
      <c r="K75" s="2"/>
      <c r="L75" s="2"/>
      <c r="M75" s="2" t="s">
        <v>153</v>
      </c>
      <c r="N75" s="2" t="s">
        <v>154</v>
      </c>
      <c r="O75" s="2" t="s">
        <v>50</v>
      </c>
      <c r="P75" s="2"/>
      <c r="Q75" s="2" t="s">
        <v>155</v>
      </c>
      <c r="R75" s="2" t="s">
        <v>156</v>
      </c>
      <c r="S75" s="2"/>
      <c r="T75" s="2"/>
      <c r="U75" s="2"/>
      <c r="V75" s="2"/>
      <c r="W75" s="2"/>
      <c r="X75" s="2"/>
      <c r="Y75" s="2"/>
      <c r="Z75" s="2"/>
    </row>
    <row r="76" ht="14.25" customHeight="1">
      <c r="A76" s="2" t="s">
        <v>150</v>
      </c>
      <c r="B76" s="2" t="s">
        <v>151</v>
      </c>
      <c r="C76" s="3" t="str">
        <f t="array" ref="C76">IFERROR(IF(XLOOKUP(B76,Planilha1!$B:$B,Planilha1!$C:$C)=0,"",XLOOKUP(B76,Planilha1!$B:$B,Planilha1!$C:$C)),"")</f>
        <v>ZE</v>
      </c>
      <c r="D76" s="2" t="s">
        <v>20</v>
      </c>
      <c r="E76" s="2" t="s">
        <v>69</v>
      </c>
      <c r="F76" s="2" t="s">
        <v>22</v>
      </c>
      <c r="G76" s="2" t="s">
        <v>152</v>
      </c>
      <c r="H76" s="2"/>
      <c r="I76" s="2" t="s">
        <v>89</v>
      </c>
      <c r="J76" s="2"/>
      <c r="K76" s="2"/>
      <c r="L76" s="2"/>
      <c r="M76" s="2" t="s">
        <v>153</v>
      </c>
      <c r="N76" s="2" t="s">
        <v>154</v>
      </c>
      <c r="O76" s="2" t="s">
        <v>50</v>
      </c>
      <c r="P76" s="2" t="s">
        <v>49</v>
      </c>
      <c r="Q76" s="2"/>
      <c r="R76" s="2" t="s">
        <v>157</v>
      </c>
      <c r="S76" s="2"/>
      <c r="T76" s="2"/>
      <c r="U76" s="2"/>
      <c r="V76" s="2"/>
      <c r="W76" s="2"/>
      <c r="X76" s="2"/>
      <c r="Y76" s="2"/>
      <c r="Z76" s="2"/>
    </row>
    <row r="77" ht="14.25" customHeight="1">
      <c r="A77" s="2" t="s">
        <v>150</v>
      </c>
      <c r="B77" s="2" t="s">
        <v>151</v>
      </c>
      <c r="C77" s="3" t="str">
        <f t="array" ref="C77">IFERROR(IF(XLOOKUP(B77,Planilha1!$B:$B,Planilha1!$C:$C)=0,"",XLOOKUP(B77,Planilha1!$B:$B,Planilha1!$C:$C)),"")</f>
        <v>ZE</v>
      </c>
      <c r="D77" s="2" t="s">
        <v>25</v>
      </c>
      <c r="E77" s="2" t="s">
        <v>158</v>
      </c>
      <c r="F77" s="2" t="s">
        <v>22</v>
      </c>
      <c r="G77" s="2" t="s">
        <v>152</v>
      </c>
      <c r="H77" s="2"/>
      <c r="I77" s="2" t="s">
        <v>89</v>
      </c>
      <c r="J77" s="2"/>
      <c r="K77" s="2"/>
      <c r="L77" s="2"/>
      <c r="M77" s="2" t="s">
        <v>153</v>
      </c>
      <c r="N77" s="2" t="s">
        <v>154</v>
      </c>
      <c r="O77" s="2" t="s">
        <v>50</v>
      </c>
      <c r="P77" s="2" t="s">
        <v>49</v>
      </c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2" t="s">
        <v>150</v>
      </c>
      <c r="B78" s="2" t="s">
        <v>151</v>
      </c>
      <c r="C78" s="3" t="str">
        <f t="array" ref="C78">IFERROR(IF(XLOOKUP(B78,Planilha1!$B:$B,Planilha1!$C:$C)=0,"",XLOOKUP(B78,Planilha1!$B:$B,Planilha1!$C:$C)),"")</f>
        <v>ZE</v>
      </c>
      <c r="D78" s="2" t="s">
        <v>25</v>
      </c>
      <c r="E78" s="2" t="s">
        <v>74</v>
      </c>
      <c r="F78" s="2" t="s">
        <v>22</v>
      </c>
      <c r="G78" s="2"/>
      <c r="H78" s="2"/>
      <c r="I78" s="2"/>
      <c r="J78" s="2"/>
      <c r="K78" s="2" t="s">
        <v>75</v>
      </c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2" t="s">
        <v>159</v>
      </c>
      <c r="B79" s="2" t="s">
        <v>160</v>
      </c>
      <c r="C79" s="3" t="str">
        <f t="array" ref="C79">IFERROR(IF(XLOOKUP(B79,Planilha1!$B:$B,Planilha1!$C:$C)=0,"",XLOOKUP(B79,Planilha1!$B:$B,Planilha1!$C:$C)),"")</f>
        <v>ZI</v>
      </c>
      <c r="D79" s="2" t="s">
        <v>20</v>
      </c>
      <c r="E79" s="2" t="s">
        <v>79</v>
      </c>
      <c r="F79" s="2" t="s">
        <v>22</v>
      </c>
      <c r="G79" s="2" t="s">
        <v>161</v>
      </c>
      <c r="H79" s="2"/>
      <c r="I79" s="2" t="s">
        <v>47</v>
      </c>
      <c r="J79" s="2"/>
      <c r="K79" s="2"/>
      <c r="L79" s="2"/>
      <c r="M79" s="2" t="s">
        <v>153</v>
      </c>
      <c r="N79" s="2" t="s">
        <v>162</v>
      </c>
      <c r="O79" s="2" t="s">
        <v>50</v>
      </c>
      <c r="P79" s="2" t="s">
        <v>163</v>
      </c>
      <c r="Q79" s="2" t="s">
        <v>155</v>
      </c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2" t="s">
        <v>159</v>
      </c>
      <c r="B80" s="2" t="s">
        <v>160</v>
      </c>
      <c r="C80" s="3" t="str">
        <f t="array" ref="C80">IFERROR(IF(XLOOKUP(B80,Planilha1!$B:$B,Planilha1!$C:$C)=0,"",XLOOKUP(B80,Planilha1!$B:$B,Planilha1!$C:$C)),"")</f>
        <v>ZI</v>
      </c>
      <c r="D80" s="2" t="s">
        <v>25</v>
      </c>
      <c r="E80" s="2" t="s">
        <v>164</v>
      </c>
      <c r="F80" s="2" t="s">
        <v>22</v>
      </c>
      <c r="G80" s="2" t="s">
        <v>23</v>
      </c>
      <c r="H80" s="2"/>
      <c r="I80" s="2"/>
      <c r="J80" s="2"/>
      <c r="K80" s="2"/>
      <c r="L80" s="2"/>
      <c r="M80" s="2" t="s">
        <v>48</v>
      </c>
      <c r="N80" s="2" t="s">
        <v>162</v>
      </c>
      <c r="O80" s="2" t="s">
        <v>50</v>
      </c>
      <c r="P80" s="2" t="s">
        <v>165</v>
      </c>
      <c r="Q80" s="2"/>
      <c r="R80" s="2" t="s">
        <v>166</v>
      </c>
      <c r="S80" s="2"/>
      <c r="T80" s="2"/>
      <c r="U80" s="2"/>
      <c r="V80" s="2"/>
      <c r="W80" s="2"/>
      <c r="X80" s="2"/>
      <c r="Y80" s="2"/>
      <c r="Z80" s="2"/>
    </row>
    <row r="81" ht="14.25" customHeight="1">
      <c r="A81" s="2" t="s">
        <v>159</v>
      </c>
      <c r="B81" s="2" t="s">
        <v>160</v>
      </c>
      <c r="C81" s="3" t="str">
        <f t="array" ref="C81">IFERROR(IF(XLOOKUP(B81,Planilha1!$B:$B,Planilha1!$C:$C)=0,"",XLOOKUP(B81,Planilha1!$B:$B,Planilha1!$C:$C)),"")</f>
        <v>ZI</v>
      </c>
      <c r="D81" s="2" t="s">
        <v>25</v>
      </c>
      <c r="E81" s="2" t="s">
        <v>167</v>
      </c>
      <c r="F81" s="2" t="s">
        <v>22</v>
      </c>
      <c r="G81" s="2" t="s">
        <v>161</v>
      </c>
      <c r="H81" s="2"/>
      <c r="I81" s="2"/>
      <c r="J81" s="2"/>
      <c r="K81" s="2"/>
      <c r="L81" s="2"/>
      <c r="M81" s="2" t="s">
        <v>48</v>
      </c>
      <c r="N81" s="2" t="s">
        <v>162</v>
      </c>
      <c r="O81" s="2" t="s">
        <v>50</v>
      </c>
      <c r="P81" s="2" t="s">
        <v>168</v>
      </c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2" t="s">
        <v>169</v>
      </c>
      <c r="B82" s="2" t="s">
        <v>170</v>
      </c>
      <c r="C82" s="3" t="str">
        <f t="array" ref="C82">IFERROR(IF(XLOOKUP(B82,Planilha1!$B:$B,Planilha1!$C:$C)=0,"",XLOOKUP(B82,Planilha1!$B:$B,Planilha1!$C:$C)),"")</f>
        <v>EACF</v>
      </c>
      <c r="D82" s="2" t="s">
        <v>20</v>
      </c>
      <c r="E82" s="2" t="s">
        <v>171</v>
      </c>
      <c r="F82" s="2" t="s">
        <v>22</v>
      </c>
      <c r="G82" s="2" t="s">
        <v>23</v>
      </c>
      <c r="H82" s="2"/>
      <c r="I82" s="2" t="s">
        <v>89</v>
      </c>
      <c r="J82" s="2"/>
      <c r="K82" s="2"/>
      <c r="L82" s="2"/>
      <c r="M82" s="2" t="s">
        <v>48</v>
      </c>
      <c r="N82" s="2" t="s">
        <v>49</v>
      </c>
      <c r="O82" s="2" t="s">
        <v>50</v>
      </c>
      <c r="P82" s="2" t="s">
        <v>123</v>
      </c>
      <c r="Q82" s="2" t="s">
        <v>124</v>
      </c>
      <c r="R82" s="2" t="s">
        <v>172</v>
      </c>
      <c r="S82" s="2"/>
      <c r="T82" s="2"/>
      <c r="U82" s="2"/>
      <c r="V82" s="2"/>
      <c r="W82" s="2"/>
      <c r="X82" s="2"/>
      <c r="Y82" s="2"/>
      <c r="Z82" s="2"/>
    </row>
    <row r="83" ht="14.25" customHeight="1">
      <c r="A83" s="2" t="s">
        <v>169</v>
      </c>
      <c r="B83" s="2" t="s">
        <v>170</v>
      </c>
      <c r="C83" s="3" t="str">
        <f t="array" ref="C83">IFERROR(IF(XLOOKUP(B83,Planilha1!$B:$B,Planilha1!$C:$C)=0,"",XLOOKUP(B83,Planilha1!$B:$B,Planilha1!$C:$C)),"")</f>
        <v>EACF</v>
      </c>
      <c r="D83" s="2" t="s">
        <v>25</v>
      </c>
      <c r="E83" s="2" t="s">
        <v>141</v>
      </c>
      <c r="F83" s="2" t="s">
        <v>22</v>
      </c>
      <c r="G83" s="2" t="s">
        <v>23</v>
      </c>
      <c r="H83" s="2"/>
      <c r="I83" s="2" t="s">
        <v>47</v>
      </c>
      <c r="J83" s="2"/>
      <c r="K83" s="2"/>
      <c r="L83" s="2"/>
      <c r="M83" s="2" t="s">
        <v>48</v>
      </c>
      <c r="N83" s="2" t="s">
        <v>49</v>
      </c>
      <c r="O83" s="2" t="s">
        <v>50</v>
      </c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2" t="s">
        <v>169</v>
      </c>
      <c r="B84" s="2" t="s">
        <v>170</v>
      </c>
      <c r="C84" s="3" t="str">
        <f t="array" ref="C84">IFERROR(IF(XLOOKUP(B84,Planilha1!$B:$B,Planilha1!$C:$C)=0,"",XLOOKUP(B84,Planilha1!$B:$B,Planilha1!$C:$C)),"")</f>
        <v>EACF</v>
      </c>
      <c r="D84" s="2" t="s">
        <v>25</v>
      </c>
      <c r="E84" s="2" t="s">
        <v>92</v>
      </c>
      <c r="F84" s="2" t="s">
        <v>22</v>
      </c>
      <c r="G84" s="2"/>
      <c r="H84" s="2"/>
      <c r="I84" s="2"/>
      <c r="J84" s="2"/>
      <c r="K84" s="2" t="s">
        <v>59</v>
      </c>
      <c r="L84" s="2"/>
      <c r="M84" s="2"/>
      <c r="N84" s="2"/>
      <c r="O84" s="2"/>
      <c r="P84" s="2"/>
      <c r="Q84" s="2"/>
      <c r="R84" s="2" t="s">
        <v>102</v>
      </c>
      <c r="S84" s="2"/>
      <c r="T84" s="2"/>
      <c r="U84" s="2"/>
      <c r="V84" s="2"/>
      <c r="W84" s="2"/>
      <c r="X84" s="2"/>
      <c r="Y84" s="2"/>
      <c r="Z84" s="2"/>
    </row>
    <row r="85" ht="14.25" customHeight="1">
      <c r="A85" s="2" t="s">
        <v>173</v>
      </c>
      <c r="B85" s="2" t="s">
        <v>174</v>
      </c>
      <c r="C85" s="3" t="str">
        <f t="array" ref="C85">IFERROR(IF(XLOOKUP(B85,Planilha1!$B:$B,Planilha1!$C:$C)=0,"",XLOOKUP(B85,Planilha1!$B:$B,Planilha1!$C:$C)),"")</f>
        <v>EE</v>
      </c>
      <c r="D85" s="2" t="s">
        <v>20</v>
      </c>
      <c r="E85" s="2" t="s">
        <v>79</v>
      </c>
      <c r="F85" s="2" t="s">
        <v>22</v>
      </c>
      <c r="G85" s="2" t="s">
        <v>23</v>
      </c>
      <c r="H85" s="2"/>
      <c r="I85" s="2" t="s">
        <v>47</v>
      </c>
      <c r="J85" s="2"/>
      <c r="K85" s="2"/>
      <c r="L85" s="2"/>
      <c r="M85" s="2" t="s">
        <v>48</v>
      </c>
      <c r="N85" s="2" t="s">
        <v>154</v>
      </c>
      <c r="O85" s="2" t="s">
        <v>50</v>
      </c>
      <c r="P85" s="2"/>
      <c r="Q85" s="2" t="s">
        <v>124</v>
      </c>
      <c r="R85" s="2" t="s">
        <v>175</v>
      </c>
      <c r="S85" s="2"/>
      <c r="T85" s="2"/>
      <c r="U85" s="2"/>
      <c r="V85" s="2"/>
      <c r="W85" s="2"/>
      <c r="X85" s="2"/>
      <c r="Y85" s="2"/>
      <c r="Z85" s="2"/>
    </row>
    <row r="86" ht="14.25" customHeight="1">
      <c r="A86" s="2" t="s">
        <v>173</v>
      </c>
      <c r="B86" s="2" t="s">
        <v>174</v>
      </c>
      <c r="C86" s="3" t="str">
        <f t="array" ref="C86">IFERROR(IF(XLOOKUP(B86,Planilha1!$B:$B,Planilha1!$C:$C)=0,"",XLOOKUP(B86,Planilha1!$B:$B,Planilha1!$C:$C)),"")</f>
        <v>EE</v>
      </c>
      <c r="D86" s="2" t="s">
        <v>20</v>
      </c>
      <c r="E86" s="2" t="s">
        <v>131</v>
      </c>
      <c r="F86" s="2" t="s">
        <v>22</v>
      </c>
      <c r="G86" s="2" t="s">
        <v>89</v>
      </c>
      <c r="H86" s="2"/>
      <c r="I86" s="2" t="s">
        <v>176</v>
      </c>
      <c r="J86" s="2"/>
      <c r="K86" s="2"/>
      <c r="L86" s="2"/>
      <c r="M86" s="2" t="s">
        <v>177</v>
      </c>
      <c r="N86" s="2" t="s">
        <v>178</v>
      </c>
      <c r="O86" s="2"/>
      <c r="P86" s="2" t="s">
        <v>179</v>
      </c>
      <c r="Q86" s="2"/>
      <c r="R86" s="2" t="s">
        <v>180</v>
      </c>
      <c r="S86" s="2"/>
      <c r="T86" s="2"/>
      <c r="U86" s="2"/>
      <c r="V86" s="2"/>
      <c r="W86" s="2"/>
      <c r="X86" s="2"/>
      <c r="Y86" s="2"/>
      <c r="Z86" s="2"/>
    </row>
    <row r="87" ht="14.25" customHeight="1">
      <c r="A87" s="2" t="s">
        <v>181</v>
      </c>
      <c r="B87" s="2" t="s">
        <v>182</v>
      </c>
      <c r="C87" s="3" t="str">
        <f t="array" ref="C87">IFERROR(IF(XLOOKUP(B87,Planilha1!$B:$B,Planilha1!$C:$C)=0,"",XLOOKUP(B87,Planilha1!$B:$B,Planilha1!$C:$C)),"")</f>
        <v>ENC</v>
      </c>
      <c r="D87" s="2" t="s">
        <v>20</v>
      </c>
      <c r="E87" s="2" t="s">
        <v>79</v>
      </c>
      <c r="F87" s="2" t="s">
        <v>22</v>
      </c>
      <c r="G87" s="2" t="s">
        <v>23</v>
      </c>
      <c r="H87" s="2"/>
      <c r="I87" s="2" t="s">
        <v>47</v>
      </c>
      <c r="J87" s="2"/>
      <c r="K87" s="2"/>
      <c r="L87" s="2"/>
      <c r="M87" s="2" t="s">
        <v>48</v>
      </c>
      <c r="N87" s="2" t="s">
        <v>154</v>
      </c>
      <c r="O87" s="2" t="s">
        <v>50</v>
      </c>
      <c r="P87" s="2"/>
      <c r="Q87" s="2"/>
      <c r="R87" s="2" t="s">
        <v>156</v>
      </c>
      <c r="S87" s="2"/>
      <c r="T87" s="2"/>
      <c r="U87" s="2"/>
      <c r="V87" s="2"/>
      <c r="W87" s="2"/>
      <c r="X87" s="2"/>
      <c r="Y87" s="2"/>
      <c r="Z87" s="2"/>
    </row>
    <row r="88" ht="14.25" customHeight="1">
      <c r="A88" s="2" t="s">
        <v>181</v>
      </c>
      <c r="B88" s="2" t="s">
        <v>182</v>
      </c>
      <c r="C88" s="3" t="str">
        <f t="array" ref="C88">IFERROR(IF(XLOOKUP(B88,Planilha1!$B:$B,Planilha1!$C:$C)=0,"",XLOOKUP(B88,Planilha1!$B:$B,Planilha1!$C:$C)),"")</f>
        <v>ENC</v>
      </c>
      <c r="D88" s="2" t="s">
        <v>20</v>
      </c>
      <c r="E88" s="2" t="s">
        <v>131</v>
      </c>
      <c r="F88" s="2" t="s">
        <v>22</v>
      </c>
      <c r="G88" s="2" t="s">
        <v>47</v>
      </c>
      <c r="H88" s="2"/>
      <c r="I88" s="2" t="s">
        <v>83</v>
      </c>
      <c r="J88" s="2"/>
      <c r="K88" s="2"/>
      <c r="L88" s="2"/>
      <c r="M88" s="2" t="s">
        <v>183</v>
      </c>
      <c r="N88" s="2" t="s">
        <v>49</v>
      </c>
      <c r="O88" s="2" t="s">
        <v>50</v>
      </c>
      <c r="P88" s="2" t="s">
        <v>133</v>
      </c>
      <c r="Q88" s="2" t="s">
        <v>124</v>
      </c>
      <c r="R88" s="2" t="s">
        <v>184</v>
      </c>
      <c r="S88" s="2"/>
      <c r="T88" s="2"/>
      <c r="U88" s="2"/>
      <c r="V88" s="2"/>
      <c r="W88" s="2"/>
      <c r="X88" s="2"/>
      <c r="Y88" s="2"/>
      <c r="Z88" s="2"/>
    </row>
    <row r="89" ht="14.25" customHeight="1">
      <c r="A89" s="2" t="s">
        <v>185</v>
      </c>
      <c r="B89" s="2" t="s">
        <v>186</v>
      </c>
      <c r="C89" s="3" t="str">
        <f t="array" ref="C89">IFERROR(IF(XLOOKUP(B89,Planilha1!$B:$B,Planilha1!$C:$C)=0,"",XLOOKUP(B89,Planilha1!$B:$B,Planilha1!$C:$C)),"")</f>
        <v>EMF</v>
      </c>
      <c r="D89" s="2" t="s">
        <v>20</v>
      </c>
      <c r="E89" s="2" t="s">
        <v>187</v>
      </c>
      <c r="F89" s="2" t="s">
        <v>22</v>
      </c>
      <c r="G89" s="2" t="s">
        <v>23</v>
      </c>
      <c r="H89" s="2"/>
      <c r="I89" s="2" t="s">
        <v>89</v>
      </c>
      <c r="J89" s="2"/>
      <c r="K89" s="2"/>
      <c r="L89" s="2"/>
      <c r="M89" s="2" t="s">
        <v>188</v>
      </c>
      <c r="N89" s="2" t="s">
        <v>49</v>
      </c>
      <c r="O89" s="2"/>
      <c r="P89" s="2" t="s">
        <v>123</v>
      </c>
      <c r="Q89" s="2" t="s">
        <v>124</v>
      </c>
      <c r="R89" s="2" t="s">
        <v>156</v>
      </c>
      <c r="S89" s="2"/>
      <c r="T89" s="2"/>
      <c r="U89" s="2"/>
      <c r="V89" s="2"/>
      <c r="W89" s="2"/>
      <c r="X89" s="2"/>
      <c r="Y89" s="2"/>
      <c r="Z89" s="2"/>
    </row>
    <row r="90" ht="14.25" customHeight="1">
      <c r="A90" s="2" t="s">
        <v>189</v>
      </c>
      <c r="B90" s="2" t="s">
        <v>190</v>
      </c>
      <c r="C90" s="3" t="str">
        <f t="array" ref="C90">IFERROR(IF(XLOOKUP(B90,Planilha1!$B:$B,Planilha1!$C:$C)=0,"",XLOOKUP(B90,Planilha1!$B:$B,Planilha1!$C:$C)),"")</f>
        <v/>
      </c>
      <c r="D90" s="2" t="s">
        <v>20</v>
      </c>
      <c r="E90" s="2" t="s">
        <v>191</v>
      </c>
      <c r="F90" s="2" t="s">
        <v>22</v>
      </c>
      <c r="G90" s="2" t="s">
        <v>192</v>
      </c>
      <c r="H90" s="2"/>
      <c r="I90" s="2" t="s">
        <v>49</v>
      </c>
      <c r="J90" s="2"/>
      <c r="K90" s="2"/>
      <c r="L90" s="2"/>
      <c r="M90" s="2" t="s">
        <v>193</v>
      </c>
      <c r="N90" s="2" t="s">
        <v>85</v>
      </c>
      <c r="O90" s="2"/>
      <c r="P90" s="2"/>
      <c r="Q90" s="2" t="s">
        <v>80</v>
      </c>
      <c r="R90" s="2" t="s">
        <v>194</v>
      </c>
      <c r="S90" s="2"/>
      <c r="T90" s="2"/>
      <c r="U90" s="2"/>
      <c r="V90" s="2"/>
      <c r="W90" s="2"/>
      <c r="X90" s="2"/>
      <c r="Y90" s="2"/>
      <c r="Z90" s="2"/>
    </row>
    <row r="91" ht="14.25" customHeight="1">
      <c r="A91" s="2" t="s">
        <v>195</v>
      </c>
      <c r="B91" s="2" t="s">
        <v>196</v>
      </c>
      <c r="C91" s="3" t="str">
        <f t="array" ref="C91">IFERROR(IF(XLOOKUP(B91,Planilha1!$B:$B,Planilha1!$C:$C)=0,"",XLOOKUP(B91,Planilha1!$B:$B,Planilha1!$C:$C)),"")</f>
        <v>SEHIS</v>
      </c>
      <c r="D91" s="2" t="s">
        <v>20</v>
      </c>
      <c r="E91" s="2" t="s">
        <v>197</v>
      </c>
      <c r="F91" s="2" t="s">
        <v>22</v>
      </c>
      <c r="G91" s="2" t="s">
        <v>198</v>
      </c>
      <c r="H91" s="2"/>
      <c r="I91" s="2" t="s">
        <v>47</v>
      </c>
      <c r="J91" s="2"/>
      <c r="K91" s="2"/>
      <c r="L91" s="2"/>
      <c r="M91" s="2" t="s">
        <v>48</v>
      </c>
      <c r="N91" s="2" t="s">
        <v>49</v>
      </c>
      <c r="O91" s="2" t="s">
        <v>50</v>
      </c>
      <c r="P91" s="2"/>
      <c r="Q91" s="2" t="s">
        <v>124</v>
      </c>
      <c r="R91" s="2" t="s">
        <v>199</v>
      </c>
      <c r="S91" s="2"/>
      <c r="T91" s="2"/>
      <c r="U91" s="2"/>
      <c r="V91" s="2"/>
      <c r="W91" s="2"/>
      <c r="X91" s="2"/>
      <c r="Y91" s="2"/>
      <c r="Z91" s="2"/>
    </row>
    <row r="92" ht="14.25" customHeight="1">
      <c r="A92" s="2" t="s">
        <v>195</v>
      </c>
      <c r="B92" s="2" t="s">
        <v>196</v>
      </c>
      <c r="C92" s="3" t="str">
        <f t="array" ref="C92">IFERROR(IF(XLOOKUP(B92,Planilha1!$B:$B,Planilha1!$C:$C)=0,"",XLOOKUP(B92,Planilha1!$B:$B,Planilha1!$C:$C)),"")</f>
        <v>SEHIS</v>
      </c>
      <c r="D92" s="2" t="s">
        <v>25</v>
      </c>
      <c r="E92" s="2" t="s">
        <v>200</v>
      </c>
      <c r="F92" s="2" t="s">
        <v>22</v>
      </c>
      <c r="G92" s="2" t="s">
        <v>198</v>
      </c>
      <c r="H92" s="2"/>
      <c r="I92" s="2" t="s">
        <v>47</v>
      </c>
      <c r="J92" s="2"/>
      <c r="K92" s="2" t="s">
        <v>75</v>
      </c>
      <c r="L92" s="2"/>
      <c r="M92" s="2" t="s">
        <v>48</v>
      </c>
      <c r="N92" s="2" t="s">
        <v>49</v>
      </c>
      <c r="O92" s="2" t="s">
        <v>50</v>
      </c>
      <c r="P92" s="2"/>
      <c r="Q92" s="2"/>
      <c r="R92" s="2" t="s">
        <v>199</v>
      </c>
      <c r="S92" s="2"/>
      <c r="T92" s="2"/>
      <c r="U92" s="2"/>
      <c r="V92" s="2"/>
      <c r="W92" s="2"/>
      <c r="X92" s="2"/>
      <c r="Y92" s="2"/>
      <c r="Z92" s="2"/>
    </row>
    <row r="93" ht="14.25" customHeight="1">
      <c r="A93" s="2" t="s">
        <v>201</v>
      </c>
      <c r="B93" s="2" t="s">
        <v>202</v>
      </c>
      <c r="C93" s="3" t="str">
        <f t="array" ref="C93">IFERROR(IF(XLOOKUP(B93,Planilha1!$B:$B,Planilha1!$C:$C)=0,"",XLOOKUP(B93,Planilha1!$B:$B,Planilha1!$C:$C)),"")</f>
        <v>ZROC</v>
      </c>
      <c r="D93" s="2" t="s">
        <v>20</v>
      </c>
      <c r="E93" s="2" t="s">
        <v>203</v>
      </c>
      <c r="F93" s="2" t="s">
        <v>22</v>
      </c>
      <c r="G93" s="2" t="s">
        <v>23</v>
      </c>
      <c r="H93" s="2"/>
      <c r="I93" s="2" t="s">
        <v>47</v>
      </c>
      <c r="J93" s="2"/>
      <c r="K93" s="2"/>
      <c r="L93" s="2"/>
      <c r="M93" s="2" t="s">
        <v>48</v>
      </c>
      <c r="N93" s="2" t="s">
        <v>49</v>
      </c>
      <c r="O93" s="2" t="s">
        <v>50</v>
      </c>
      <c r="P93" s="2"/>
      <c r="Q93" s="2" t="s">
        <v>124</v>
      </c>
      <c r="R93" s="2" t="s">
        <v>204</v>
      </c>
      <c r="S93" s="2"/>
      <c r="T93" s="2"/>
      <c r="U93" s="2"/>
      <c r="V93" s="2"/>
      <c r="W93" s="2"/>
      <c r="X93" s="2"/>
      <c r="Y93" s="2"/>
      <c r="Z93" s="2"/>
    </row>
    <row r="94" ht="14.25" customHeight="1">
      <c r="A94" s="2" t="s">
        <v>201</v>
      </c>
      <c r="B94" s="2" t="s">
        <v>202</v>
      </c>
      <c r="C94" s="3" t="str">
        <f t="array" ref="C94">IFERROR(IF(XLOOKUP(B94,Planilha1!$B:$B,Planilha1!$C:$C)=0,"",XLOOKUP(B94,Planilha1!$B:$B,Planilha1!$C:$C)),"")</f>
        <v>ZROC</v>
      </c>
      <c r="D94" s="2" t="s">
        <v>20</v>
      </c>
      <c r="E94" s="2" t="s">
        <v>205</v>
      </c>
      <c r="F94" s="2" t="s">
        <v>22</v>
      </c>
      <c r="G94" s="2" t="s">
        <v>206</v>
      </c>
      <c r="H94" s="2"/>
      <c r="I94" s="2" t="s">
        <v>47</v>
      </c>
      <c r="J94" s="2"/>
      <c r="K94" s="2"/>
      <c r="L94" s="2"/>
      <c r="M94" s="2" t="s">
        <v>153</v>
      </c>
      <c r="N94" s="2" t="s">
        <v>49</v>
      </c>
      <c r="O94" s="2" t="s">
        <v>48</v>
      </c>
      <c r="P94" s="2"/>
      <c r="Q94" s="2" t="s">
        <v>207</v>
      </c>
      <c r="R94" s="2" t="s">
        <v>208</v>
      </c>
      <c r="S94" s="2"/>
      <c r="T94" s="2"/>
      <c r="U94" s="2"/>
      <c r="V94" s="2"/>
      <c r="W94" s="2"/>
      <c r="X94" s="2"/>
      <c r="Y94" s="2"/>
      <c r="Z94" s="2"/>
    </row>
    <row r="95" ht="14.25" customHeight="1">
      <c r="A95" s="2" t="s">
        <v>201</v>
      </c>
      <c r="B95" s="2" t="s">
        <v>202</v>
      </c>
      <c r="C95" s="3" t="str">
        <f t="array" ref="C95">IFERROR(IF(XLOOKUP(B95,Planilha1!$B:$B,Planilha1!$C:$C)=0,"",XLOOKUP(B95,Planilha1!$B:$B,Planilha1!$C:$C)),"")</f>
        <v>ZROC</v>
      </c>
      <c r="D95" s="2" t="s">
        <v>25</v>
      </c>
      <c r="E95" s="2" t="s">
        <v>209</v>
      </c>
      <c r="F95" s="2" t="s">
        <v>22</v>
      </c>
      <c r="G95" s="2" t="s">
        <v>23</v>
      </c>
      <c r="H95" s="2"/>
      <c r="I95" s="2" t="s">
        <v>47</v>
      </c>
      <c r="J95" s="2"/>
      <c r="K95" s="2" t="s">
        <v>75</v>
      </c>
      <c r="L95" s="2"/>
      <c r="M95" s="2" t="s">
        <v>48</v>
      </c>
      <c r="N95" s="2" t="s">
        <v>49</v>
      </c>
      <c r="O95" s="2" t="s">
        <v>50</v>
      </c>
      <c r="P95" s="2"/>
      <c r="Q95" s="2"/>
      <c r="R95" s="2" t="s">
        <v>110</v>
      </c>
      <c r="S95" s="2"/>
      <c r="T95" s="2"/>
      <c r="U95" s="2"/>
      <c r="V95" s="2"/>
      <c r="W95" s="2"/>
      <c r="X95" s="2"/>
      <c r="Y95" s="2"/>
      <c r="Z95" s="2"/>
    </row>
    <row r="96" ht="14.25" customHeight="1">
      <c r="A96" s="2" t="s">
        <v>210</v>
      </c>
      <c r="B96" s="2" t="s">
        <v>211</v>
      </c>
      <c r="C96" s="3" t="str">
        <f t="array" ref="C96">IFERROR(IF(XLOOKUP(B96,Planilha1!$B:$B,Planilha1!$C:$C)=0,"",XLOOKUP(B96,Planilha1!$B:$B,Planilha1!$C:$C)),"")</f>
        <v>ZROI</v>
      </c>
      <c r="D96" s="2" t="s">
        <v>20</v>
      </c>
      <c r="E96" s="2" t="s">
        <v>212</v>
      </c>
      <c r="F96" s="2" t="s">
        <v>22</v>
      </c>
      <c r="G96" s="2" t="s">
        <v>23</v>
      </c>
      <c r="H96" s="2"/>
      <c r="I96" s="2" t="s">
        <v>47</v>
      </c>
      <c r="J96" s="2"/>
      <c r="K96" s="2"/>
      <c r="L96" s="2"/>
      <c r="M96" s="2" t="s">
        <v>48</v>
      </c>
      <c r="N96" s="2" t="s">
        <v>49</v>
      </c>
      <c r="O96" s="2" t="s">
        <v>50</v>
      </c>
      <c r="P96" s="2"/>
      <c r="Q96" s="2" t="s">
        <v>124</v>
      </c>
      <c r="R96" s="2" t="s">
        <v>213</v>
      </c>
      <c r="S96" s="2"/>
      <c r="T96" s="2"/>
      <c r="U96" s="2"/>
      <c r="V96" s="2"/>
      <c r="W96" s="2"/>
      <c r="X96" s="2"/>
      <c r="Y96" s="2"/>
      <c r="Z96" s="2"/>
    </row>
    <row r="97" ht="14.25" customHeight="1">
      <c r="A97" s="2" t="s">
        <v>210</v>
      </c>
      <c r="B97" s="2" t="s">
        <v>211</v>
      </c>
      <c r="C97" s="3" t="str">
        <f t="array" ref="C97">IFERROR(IF(XLOOKUP(B97,Planilha1!$B:$B,Planilha1!$C:$C)=0,"",XLOOKUP(B97,Planilha1!$B:$B,Planilha1!$C:$C)),"")</f>
        <v>ZROI</v>
      </c>
      <c r="D97" s="2" t="s">
        <v>25</v>
      </c>
      <c r="E97" s="2" t="s">
        <v>209</v>
      </c>
      <c r="F97" s="2" t="s">
        <v>22</v>
      </c>
      <c r="G97" s="2" t="s">
        <v>23</v>
      </c>
      <c r="H97" s="2"/>
      <c r="I97" s="2" t="s">
        <v>47</v>
      </c>
      <c r="J97" s="2"/>
      <c r="K97" s="2" t="s">
        <v>75</v>
      </c>
      <c r="L97" s="2"/>
      <c r="M97" s="2" t="s">
        <v>48</v>
      </c>
      <c r="N97" s="2" t="s">
        <v>49</v>
      </c>
      <c r="O97" s="2" t="s">
        <v>50</v>
      </c>
      <c r="P97" s="2"/>
      <c r="Q97" s="2"/>
      <c r="R97" s="2" t="s">
        <v>110</v>
      </c>
      <c r="S97" s="2"/>
      <c r="T97" s="2"/>
      <c r="U97" s="2"/>
      <c r="V97" s="2"/>
      <c r="W97" s="2"/>
      <c r="X97" s="2"/>
      <c r="Y97" s="2"/>
      <c r="Z97" s="2"/>
    </row>
    <row r="98" ht="14.25" customHeight="1">
      <c r="A98" s="2" t="s">
        <v>214</v>
      </c>
      <c r="B98" s="2" t="s">
        <v>215</v>
      </c>
      <c r="C98" s="3" t="str">
        <f t="array" ref="C98">IFERROR(IF(XLOOKUP(B98,Planilha1!$B:$B,Planilha1!$C:$C)=0,"",XLOOKUP(B98,Planilha1!$B:$B,Planilha1!$C:$C)),"")</f>
        <v>ZSM</v>
      </c>
      <c r="D98" s="2" t="s">
        <v>20</v>
      </c>
      <c r="E98" s="2" t="s">
        <v>216</v>
      </c>
      <c r="F98" s="2" t="s">
        <v>22</v>
      </c>
      <c r="G98" s="2" t="s">
        <v>47</v>
      </c>
      <c r="H98" s="2"/>
      <c r="I98" s="2" t="s">
        <v>132</v>
      </c>
      <c r="J98" s="2"/>
      <c r="K98" s="2"/>
      <c r="L98" s="2"/>
      <c r="M98" s="2" t="s">
        <v>217</v>
      </c>
      <c r="N98" s="2" t="s">
        <v>218</v>
      </c>
      <c r="O98" s="2"/>
      <c r="P98" s="2"/>
      <c r="Q98" s="2"/>
      <c r="R98" s="2" t="s">
        <v>156</v>
      </c>
      <c r="S98" s="2"/>
      <c r="T98" s="2"/>
      <c r="U98" s="2"/>
      <c r="V98" s="2"/>
      <c r="W98" s="2"/>
      <c r="X98" s="2"/>
      <c r="Y98" s="2"/>
      <c r="Z98" s="2"/>
    </row>
    <row r="99" ht="14.25" customHeight="1">
      <c r="A99" s="2" t="s">
        <v>214</v>
      </c>
      <c r="B99" s="2" t="s">
        <v>215</v>
      </c>
      <c r="C99" s="3" t="str">
        <f t="array" ref="C99">IFERROR(IF(XLOOKUP(B99,Planilha1!$B:$B,Planilha1!$C:$C)=0,"",XLOOKUP(B99,Planilha1!$B:$B,Planilha1!$C:$C)),"")</f>
        <v>ZSM</v>
      </c>
      <c r="D99" s="2" t="s">
        <v>25</v>
      </c>
      <c r="E99" s="2" t="s">
        <v>219</v>
      </c>
      <c r="F99" s="2" t="s">
        <v>22</v>
      </c>
      <c r="G99" s="2" t="s">
        <v>23</v>
      </c>
      <c r="H99" s="2"/>
      <c r="I99" s="2" t="s">
        <v>132</v>
      </c>
      <c r="J99" s="2"/>
      <c r="K99" s="2"/>
      <c r="L99" s="2"/>
      <c r="M99" s="2" t="s">
        <v>217</v>
      </c>
      <c r="N99" s="2" t="s">
        <v>218</v>
      </c>
      <c r="O99" s="2"/>
      <c r="P99" s="2"/>
      <c r="Q99" s="2"/>
      <c r="R99" s="2" t="s">
        <v>29</v>
      </c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2" t="s">
        <v>220</v>
      </c>
      <c r="B100" s="2" t="s">
        <v>221</v>
      </c>
      <c r="C100" s="3" t="str">
        <f t="array" ref="C100">IFERROR(IF(XLOOKUP(B100,Planilha1!$B:$B,Planilha1!$C:$C)=0,"",XLOOKUP(B100,Planilha1!$B:$B,Planilha1!$C:$C)),"")</f>
        <v>ZFR</v>
      </c>
      <c r="D100" s="2" t="s">
        <v>20</v>
      </c>
      <c r="E100" s="2" t="s">
        <v>191</v>
      </c>
      <c r="F100" s="2" t="s">
        <v>22</v>
      </c>
      <c r="G100" s="2" t="s">
        <v>47</v>
      </c>
      <c r="H100" s="2"/>
      <c r="I100" s="2" t="s">
        <v>132</v>
      </c>
      <c r="J100" s="2"/>
      <c r="K100" s="2"/>
      <c r="L100" s="2"/>
      <c r="M100" s="2" t="s">
        <v>48</v>
      </c>
      <c r="N100" s="2" t="s">
        <v>49</v>
      </c>
      <c r="O100" s="2" t="s">
        <v>50</v>
      </c>
      <c r="P100" s="2" t="s">
        <v>123</v>
      </c>
      <c r="Q100" s="2" t="s">
        <v>124</v>
      </c>
      <c r="R100" s="2" t="s">
        <v>156</v>
      </c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2" t="s">
        <v>220</v>
      </c>
      <c r="B101" s="2" t="s">
        <v>221</v>
      </c>
      <c r="C101" s="3" t="str">
        <f t="array" ref="C101">IFERROR(IF(XLOOKUP(B101,Planilha1!$B:$B,Planilha1!$C:$C)=0,"",XLOOKUP(B101,Planilha1!$B:$B,Planilha1!$C:$C)),"")</f>
        <v>ZFR</v>
      </c>
      <c r="D101" s="2" t="s">
        <v>25</v>
      </c>
      <c r="E101" s="2" t="s">
        <v>222</v>
      </c>
      <c r="F101" s="2" t="s">
        <v>22</v>
      </c>
      <c r="G101" s="2" t="s">
        <v>23</v>
      </c>
      <c r="H101" s="2"/>
      <c r="I101" s="2" t="s">
        <v>132</v>
      </c>
      <c r="J101" s="2"/>
      <c r="K101" s="2"/>
      <c r="L101" s="2"/>
      <c r="M101" s="2" t="s">
        <v>48</v>
      </c>
      <c r="N101" s="2" t="s">
        <v>49</v>
      </c>
      <c r="O101" s="2" t="s">
        <v>50</v>
      </c>
      <c r="P101" s="2" t="s">
        <v>123</v>
      </c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2" t="s">
        <v>223</v>
      </c>
      <c r="B102" s="2" t="s">
        <v>224</v>
      </c>
      <c r="C102" s="3" t="str">
        <f t="array" ref="C102">IFERROR(IF(XLOOKUP(B102,Planilha1!$B:$B,Planilha1!$C:$C)=0,"",XLOOKUP(B102,Planilha1!$B:$B,Planilha1!$C:$C)),"")</f>
        <v>ZM</v>
      </c>
      <c r="D102" s="2" t="s">
        <v>20</v>
      </c>
      <c r="E102" s="2" t="s">
        <v>225</v>
      </c>
      <c r="F102" s="2" t="s">
        <v>22</v>
      </c>
      <c r="G102" s="2" t="s">
        <v>152</v>
      </c>
      <c r="H102" s="2"/>
      <c r="I102" s="2" t="s">
        <v>47</v>
      </c>
      <c r="J102" s="2"/>
      <c r="K102" s="2"/>
      <c r="L102" s="2"/>
      <c r="M102" s="2" t="s">
        <v>153</v>
      </c>
      <c r="N102" s="2" t="s">
        <v>154</v>
      </c>
      <c r="O102" s="2" t="s">
        <v>50</v>
      </c>
      <c r="P102" s="2"/>
      <c r="Q102" s="2" t="s">
        <v>155</v>
      </c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2" t="s">
        <v>223</v>
      </c>
      <c r="B103" s="2" t="s">
        <v>224</v>
      </c>
      <c r="C103" s="3" t="str">
        <f t="array" ref="C103">IFERROR(IF(XLOOKUP(B103,Planilha1!$B:$B,Planilha1!$C:$C)=0,"",XLOOKUP(B103,Planilha1!$B:$B,Planilha1!$C:$C)),"")</f>
        <v>ZM</v>
      </c>
      <c r="D103" s="2" t="s">
        <v>20</v>
      </c>
      <c r="E103" s="2" t="s">
        <v>226</v>
      </c>
      <c r="F103" s="2" t="s">
        <v>22</v>
      </c>
      <c r="G103" s="2" t="s">
        <v>152</v>
      </c>
      <c r="H103" s="2"/>
      <c r="I103" s="2" t="s">
        <v>89</v>
      </c>
      <c r="J103" s="2"/>
      <c r="K103" s="2"/>
      <c r="L103" s="2"/>
      <c r="M103" s="2" t="s">
        <v>153</v>
      </c>
      <c r="N103" s="2" t="s">
        <v>154</v>
      </c>
      <c r="O103" s="2" t="s">
        <v>50</v>
      </c>
      <c r="P103" s="2" t="s">
        <v>49</v>
      </c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2" t="s">
        <v>223</v>
      </c>
      <c r="B104" s="2" t="s">
        <v>224</v>
      </c>
      <c r="C104" s="3" t="str">
        <f t="array" ref="C104">IFERROR(IF(XLOOKUP(B104,Planilha1!$B:$B,Planilha1!$C:$C)=0,"",XLOOKUP(B104,Planilha1!$B:$B,Planilha1!$C:$C)),"")</f>
        <v>ZM</v>
      </c>
      <c r="D104" s="2" t="s">
        <v>25</v>
      </c>
      <c r="E104" s="2" t="s">
        <v>227</v>
      </c>
      <c r="F104" s="2" t="s">
        <v>22</v>
      </c>
      <c r="G104" s="2" t="s">
        <v>152</v>
      </c>
      <c r="H104" s="2"/>
      <c r="I104" s="2" t="s">
        <v>89</v>
      </c>
      <c r="J104" s="2"/>
      <c r="K104" s="2"/>
      <c r="L104" s="2"/>
      <c r="M104" s="2" t="s">
        <v>153</v>
      </c>
      <c r="N104" s="2" t="s">
        <v>154</v>
      </c>
      <c r="O104" s="2" t="s">
        <v>50</v>
      </c>
      <c r="P104" s="2" t="s">
        <v>49</v>
      </c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2" t="s">
        <v>228</v>
      </c>
      <c r="B105" s="2" t="s">
        <v>229</v>
      </c>
      <c r="C105" s="3" t="str">
        <f t="array" ref="C105">IFERROR(IF(XLOOKUP(B105,Planilha1!$B:$B,Planilha1!$C:$C)=0,"",XLOOKUP(B105,Planilha1!$B:$B,Planilha1!$C:$C)),"")</f>
        <v>ZH-1</v>
      </c>
      <c r="D105" s="2" t="s">
        <v>20</v>
      </c>
      <c r="E105" s="2" t="s">
        <v>216</v>
      </c>
      <c r="F105" s="2" t="s">
        <v>22</v>
      </c>
      <c r="G105" s="2" t="s">
        <v>230</v>
      </c>
      <c r="H105" s="2"/>
      <c r="I105" s="2" t="s">
        <v>116</v>
      </c>
      <c r="J105" s="2"/>
      <c r="K105" s="2"/>
      <c r="L105" s="2"/>
      <c r="M105" s="2" t="s">
        <v>193</v>
      </c>
      <c r="N105" s="2" t="s">
        <v>231</v>
      </c>
      <c r="O105" s="2"/>
      <c r="P105" s="2"/>
      <c r="Q105" s="2" t="s">
        <v>80</v>
      </c>
      <c r="R105" s="2" t="s">
        <v>232</v>
      </c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2" t="s">
        <v>228</v>
      </c>
      <c r="B106" s="2" t="s">
        <v>229</v>
      </c>
      <c r="C106" s="3" t="str">
        <f t="array" ref="C106">IFERROR(IF(XLOOKUP(B106,Planilha1!$B:$B,Planilha1!$C:$C)=0,"",XLOOKUP(B106,Planilha1!$B:$B,Planilha1!$C:$C)),"")</f>
        <v>ZH-1</v>
      </c>
      <c r="D106" s="2" t="s">
        <v>25</v>
      </c>
      <c r="E106" s="2" t="s">
        <v>233</v>
      </c>
      <c r="F106" s="2" t="s">
        <v>22</v>
      </c>
      <c r="G106" s="2" t="s">
        <v>230</v>
      </c>
      <c r="H106" s="2"/>
      <c r="I106" s="2" t="s">
        <v>116</v>
      </c>
      <c r="J106" s="2"/>
      <c r="K106" s="2"/>
      <c r="L106" s="2"/>
      <c r="M106" s="2" t="s">
        <v>193</v>
      </c>
      <c r="N106" s="2" t="s">
        <v>231</v>
      </c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2" t="s">
        <v>234</v>
      </c>
      <c r="B107" s="2" t="s">
        <v>235</v>
      </c>
      <c r="C107" s="3" t="str">
        <f t="array" ref="C107">IFERROR(IF(XLOOKUP(B107,Planilha1!$B:$B,Planilha1!$C:$C)=0,"",XLOOKUP(B107,Planilha1!$B:$B,Planilha1!$C:$C)),"")</f>
        <v>ZH-2</v>
      </c>
      <c r="D107" s="2" t="s">
        <v>20</v>
      </c>
      <c r="E107" s="2" t="s">
        <v>191</v>
      </c>
      <c r="F107" s="2" t="s">
        <v>22</v>
      </c>
      <c r="G107" s="2" t="s">
        <v>47</v>
      </c>
      <c r="H107" s="2"/>
      <c r="I107" s="2" t="s">
        <v>89</v>
      </c>
      <c r="J107" s="2"/>
      <c r="K107" s="2"/>
      <c r="L107" s="2"/>
      <c r="M107" s="2" t="s">
        <v>48</v>
      </c>
      <c r="N107" s="2" t="s">
        <v>49</v>
      </c>
      <c r="O107" s="2" t="s">
        <v>50</v>
      </c>
      <c r="P107" s="2" t="s">
        <v>236</v>
      </c>
      <c r="Q107" s="2"/>
      <c r="R107" s="2" t="s">
        <v>232</v>
      </c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2" t="s">
        <v>234</v>
      </c>
      <c r="B108" s="2" t="s">
        <v>235</v>
      </c>
      <c r="C108" s="3" t="str">
        <f t="array" ref="C108">IFERROR(IF(XLOOKUP(B108,Planilha1!$B:$B,Planilha1!$C:$C)=0,"",XLOOKUP(B108,Planilha1!$B:$B,Planilha1!$C:$C)),"")</f>
        <v>ZH-2</v>
      </c>
      <c r="D108" s="2" t="s">
        <v>25</v>
      </c>
      <c r="E108" s="2" t="s">
        <v>233</v>
      </c>
      <c r="F108" s="2" t="s">
        <v>22</v>
      </c>
      <c r="G108" s="2" t="s">
        <v>47</v>
      </c>
      <c r="H108" s="2"/>
      <c r="I108" s="2" t="s">
        <v>89</v>
      </c>
      <c r="J108" s="2"/>
      <c r="K108" s="2"/>
      <c r="L108" s="2"/>
      <c r="M108" s="2" t="s">
        <v>48</v>
      </c>
      <c r="N108" s="2" t="s">
        <v>49</v>
      </c>
      <c r="O108" s="2" t="s">
        <v>50</v>
      </c>
      <c r="P108" s="2" t="s">
        <v>236</v>
      </c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2" t="s">
        <v>237</v>
      </c>
      <c r="B109" s="2" t="s">
        <v>238</v>
      </c>
      <c r="C109" s="3" t="str">
        <f t="array" ref="C109">IFERROR(IF(XLOOKUP(B109,Planilha1!$B:$B,Planilha1!$C:$C)=0,"",XLOOKUP(B109,Planilha1!$B:$B,Planilha1!$C:$C)),"")</f>
        <v/>
      </c>
      <c r="D109" s="2" t="s">
        <v>20</v>
      </c>
      <c r="E109" s="2" t="s">
        <v>191</v>
      </c>
      <c r="F109" s="2" t="s">
        <v>22</v>
      </c>
      <c r="G109" s="2" t="s">
        <v>89</v>
      </c>
      <c r="H109" s="2"/>
      <c r="I109" s="2" t="s">
        <v>83</v>
      </c>
      <c r="J109" s="2"/>
      <c r="K109" s="2"/>
      <c r="L109" s="2"/>
      <c r="M109" s="2" t="s">
        <v>239</v>
      </c>
      <c r="N109" s="2" t="s">
        <v>154</v>
      </c>
      <c r="O109" s="2"/>
      <c r="P109" s="2" t="s">
        <v>240</v>
      </c>
      <c r="Q109" s="2" t="s">
        <v>155</v>
      </c>
      <c r="R109" s="2" t="s">
        <v>241</v>
      </c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2" t="s">
        <v>237</v>
      </c>
      <c r="B110" s="2" t="s">
        <v>238</v>
      </c>
      <c r="C110" s="3" t="str">
        <f t="array" ref="C110">IFERROR(IF(XLOOKUP(B110,Planilha1!$B:$B,Planilha1!$C:$C)=0,"",XLOOKUP(B110,Planilha1!$B:$B,Planilha1!$C:$C)),"")</f>
        <v/>
      </c>
      <c r="D110" s="2" t="s">
        <v>25</v>
      </c>
      <c r="E110" s="2" t="s">
        <v>242</v>
      </c>
      <c r="F110" s="2" t="s">
        <v>22</v>
      </c>
      <c r="G110" s="2" t="s">
        <v>23</v>
      </c>
      <c r="H110" s="2"/>
      <c r="I110" s="2" t="s">
        <v>89</v>
      </c>
      <c r="J110" s="2"/>
      <c r="K110" s="2"/>
      <c r="L110" s="2"/>
      <c r="M110" s="2" t="s">
        <v>239</v>
      </c>
      <c r="N110" s="2" t="s">
        <v>154</v>
      </c>
      <c r="O110" s="2"/>
      <c r="P110" s="2" t="s">
        <v>240</v>
      </c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2" t="s">
        <v>243</v>
      </c>
      <c r="B111" s="2" t="s">
        <v>244</v>
      </c>
      <c r="C111" s="3" t="str">
        <f t="array" ref="C111">IFERROR(IF(XLOOKUP(B111,Planilha1!$B:$B,Planilha1!$C:$C)=0,"",XLOOKUP(B111,Planilha1!$B:$B,Planilha1!$C:$C)),"")</f>
        <v>ZCC</v>
      </c>
      <c r="D111" s="2" t="s">
        <v>20</v>
      </c>
      <c r="E111" s="2" t="s">
        <v>122</v>
      </c>
      <c r="F111" s="2" t="s">
        <v>22</v>
      </c>
      <c r="G111" s="2" t="s">
        <v>47</v>
      </c>
      <c r="H111" s="2"/>
      <c r="I111" s="2" t="s">
        <v>132</v>
      </c>
      <c r="J111" s="2"/>
      <c r="K111" s="2"/>
      <c r="L111" s="2"/>
      <c r="M111" s="2" t="s">
        <v>48</v>
      </c>
      <c r="N111" s="2" t="s">
        <v>49</v>
      </c>
      <c r="O111" s="2" t="s">
        <v>50</v>
      </c>
      <c r="P111" s="2" t="s">
        <v>123</v>
      </c>
      <c r="Q111" s="2" t="s">
        <v>155</v>
      </c>
      <c r="R111" s="2" t="s">
        <v>241</v>
      </c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2" t="s">
        <v>243</v>
      </c>
      <c r="B112" s="2" t="s">
        <v>244</v>
      </c>
      <c r="C112" s="3" t="str">
        <f t="array" ref="C112">IFERROR(IF(XLOOKUP(B112,Planilha1!$B:$B,Planilha1!$C:$C)=0,"",XLOOKUP(B112,Planilha1!$B:$B,Planilha1!$C:$C)),"")</f>
        <v>ZCC</v>
      </c>
      <c r="D112" s="2" t="s">
        <v>25</v>
      </c>
      <c r="E112" s="2" t="s">
        <v>245</v>
      </c>
      <c r="F112" s="2" t="s">
        <v>22</v>
      </c>
      <c r="G112" s="2" t="s">
        <v>23</v>
      </c>
      <c r="H112" s="2"/>
      <c r="I112" s="2" t="s">
        <v>89</v>
      </c>
      <c r="J112" s="2"/>
      <c r="K112" s="2"/>
      <c r="L112" s="2"/>
      <c r="M112" s="2" t="s">
        <v>48</v>
      </c>
      <c r="N112" s="2" t="s">
        <v>49</v>
      </c>
      <c r="O112" s="2" t="s">
        <v>50</v>
      </c>
      <c r="P112" s="2" t="s">
        <v>123</v>
      </c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2" t="s">
        <v>246</v>
      </c>
      <c r="B113" s="2" t="s">
        <v>247</v>
      </c>
      <c r="C113" s="3" t="str">
        <f t="array" ref="C113">IFERROR(IF(XLOOKUP(B113,Planilha1!$B:$B,Planilha1!$C:$C)=0,"",XLOOKUP(B113,Planilha1!$B:$B,Planilha1!$C:$C)),"")</f>
        <v>ZCSF</v>
      </c>
      <c r="D113" s="2" t="s">
        <v>20</v>
      </c>
      <c r="E113" s="2" t="s">
        <v>248</v>
      </c>
      <c r="F113" s="2" t="s">
        <v>22</v>
      </c>
      <c r="G113" s="2" t="s">
        <v>23</v>
      </c>
      <c r="H113" s="2"/>
      <c r="I113" s="2" t="s">
        <v>47</v>
      </c>
      <c r="J113" s="2"/>
      <c r="K113" s="2"/>
      <c r="L113" s="2"/>
      <c r="M113" s="2" t="s">
        <v>48</v>
      </c>
      <c r="N113" s="2" t="s">
        <v>49</v>
      </c>
      <c r="O113" s="2" t="s">
        <v>50</v>
      </c>
      <c r="P113" s="2"/>
      <c r="Q113" s="2" t="s">
        <v>124</v>
      </c>
      <c r="R113" s="2" t="s">
        <v>249</v>
      </c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2" t="s">
        <v>246</v>
      </c>
      <c r="B114" s="2" t="s">
        <v>247</v>
      </c>
      <c r="C114" s="3" t="str">
        <f t="array" ref="C114">IFERROR(IF(XLOOKUP(B114,Planilha1!$B:$B,Planilha1!$C:$C)=0,"",XLOOKUP(B114,Planilha1!$B:$B,Planilha1!$C:$C)),"")</f>
        <v>ZCSF</v>
      </c>
      <c r="D114" s="2" t="s">
        <v>25</v>
      </c>
      <c r="E114" s="2" t="s">
        <v>250</v>
      </c>
      <c r="F114" s="2" t="s">
        <v>22</v>
      </c>
      <c r="G114" s="2" t="s">
        <v>23</v>
      </c>
      <c r="H114" s="2"/>
      <c r="I114" s="2" t="s">
        <v>47</v>
      </c>
      <c r="J114" s="2"/>
      <c r="K114" s="2"/>
      <c r="L114" s="2"/>
      <c r="M114" s="2" t="s">
        <v>48</v>
      </c>
      <c r="N114" s="2" t="s">
        <v>49</v>
      </c>
      <c r="O114" s="2" t="s">
        <v>50</v>
      </c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2" t="s">
        <v>251</v>
      </c>
      <c r="B115" s="2" t="s">
        <v>252</v>
      </c>
      <c r="C115" s="3" t="str">
        <f t="array" ref="C115">IFERROR(IF(XLOOKUP(B115,Planilha1!$B:$B,Planilha1!$C:$C)=0,"",XLOOKUP(B115,Planilha1!$B:$B,Planilha1!$C:$C)),"")</f>
        <v>ZS-1</v>
      </c>
      <c r="D115" s="2" t="s">
        <v>20</v>
      </c>
      <c r="E115" s="2" t="s">
        <v>253</v>
      </c>
      <c r="F115" s="2" t="s">
        <v>22</v>
      </c>
      <c r="G115" s="2" t="s">
        <v>23</v>
      </c>
      <c r="H115" s="2"/>
      <c r="I115" s="2" t="s">
        <v>47</v>
      </c>
      <c r="J115" s="2"/>
      <c r="K115" s="2"/>
      <c r="L115" s="2"/>
      <c r="M115" s="2" t="s">
        <v>48</v>
      </c>
      <c r="N115" s="2" t="s">
        <v>49</v>
      </c>
      <c r="O115" s="2" t="s">
        <v>50</v>
      </c>
      <c r="P115" s="2"/>
      <c r="Q115" s="2"/>
      <c r="R115" s="2" t="s">
        <v>249</v>
      </c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2" t="s">
        <v>251</v>
      </c>
      <c r="B116" s="2" t="s">
        <v>252</v>
      </c>
      <c r="C116" s="3" t="str">
        <f t="array" ref="C116">IFERROR(IF(XLOOKUP(B116,Planilha1!$B:$B,Planilha1!$C:$C)=0,"",XLOOKUP(B116,Planilha1!$B:$B,Planilha1!$C:$C)),"")</f>
        <v>ZS-1</v>
      </c>
      <c r="D116" s="2" t="s">
        <v>25</v>
      </c>
      <c r="E116" s="2" t="s">
        <v>254</v>
      </c>
      <c r="F116" s="2" t="s">
        <v>22</v>
      </c>
      <c r="G116" s="2" t="s">
        <v>23</v>
      </c>
      <c r="H116" s="2"/>
      <c r="I116" s="2" t="s">
        <v>47</v>
      </c>
      <c r="J116" s="2"/>
      <c r="K116" s="2"/>
      <c r="L116" s="2"/>
      <c r="M116" s="2" t="s">
        <v>48</v>
      </c>
      <c r="N116" s="2" t="s">
        <v>154</v>
      </c>
      <c r="O116" s="2" t="s">
        <v>50</v>
      </c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2" t="s">
        <v>255</v>
      </c>
      <c r="B117" s="2" t="s">
        <v>256</v>
      </c>
      <c r="C117" s="3" t="str">
        <f t="array" ref="C117">IFERROR(IF(XLOOKUP(B117,Planilha1!$B:$B,Planilha1!$C:$C)=0,"",XLOOKUP(B117,Planilha1!$B:$B,Planilha1!$C:$C)),"")</f>
        <v>ZS-2</v>
      </c>
      <c r="D117" s="2" t="s">
        <v>20</v>
      </c>
      <c r="E117" s="2" t="s">
        <v>253</v>
      </c>
      <c r="F117" s="2" t="s">
        <v>22</v>
      </c>
      <c r="G117" s="2" t="s">
        <v>23</v>
      </c>
      <c r="H117" s="2"/>
      <c r="I117" s="2" t="s">
        <v>47</v>
      </c>
      <c r="J117" s="2"/>
      <c r="K117" s="2"/>
      <c r="L117" s="2"/>
      <c r="M117" s="2" t="s">
        <v>48</v>
      </c>
      <c r="N117" s="2" t="s">
        <v>154</v>
      </c>
      <c r="O117" s="2" t="s">
        <v>50</v>
      </c>
      <c r="P117" s="2"/>
      <c r="Q117" s="2"/>
      <c r="R117" s="2" t="s">
        <v>249</v>
      </c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2" t="s">
        <v>255</v>
      </c>
      <c r="B118" s="2" t="s">
        <v>256</v>
      </c>
      <c r="C118" s="3" t="str">
        <f t="array" ref="C118">IFERROR(IF(XLOOKUP(B118,Planilha1!$B:$B,Planilha1!$C:$C)=0,"",XLOOKUP(B118,Planilha1!$B:$B,Planilha1!$C:$C)),"")</f>
        <v>ZS-2</v>
      </c>
      <c r="D118" s="2" t="s">
        <v>25</v>
      </c>
      <c r="E118" s="2" t="s">
        <v>257</v>
      </c>
      <c r="F118" s="2" t="s">
        <v>22</v>
      </c>
      <c r="G118" s="2" t="s">
        <v>23</v>
      </c>
      <c r="H118" s="2"/>
      <c r="I118" s="2" t="s">
        <v>47</v>
      </c>
      <c r="J118" s="2"/>
      <c r="K118" s="2"/>
      <c r="L118" s="2"/>
      <c r="M118" s="2" t="s">
        <v>48</v>
      </c>
      <c r="N118" s="2" t="s">
        <v>154</v>
      </c>
      <c r="O118" s="2" t="s">
        <v>50</v>
      </c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2" t="s">
        <v>258</v>
      </c>
      <c r="B119" s="2" t="s">
        <v>259</v>
      </c>
      <c r="C119" s="3" t="str">
        <f t="array" ref="C119">IFERROR(IF(XLOOKUP(B119,Planilha1!$B:$B,Planilha1!$C:$C)=0,"",XLOOKUP(B119,Planilha1!$B:$B,Planilha1!$C:$C)),"")</f>
        <v>ZPS</v>
      </c>
      <c r="D119" s="2" t="s">
        <v>20</v>
      </c>
      <c r="E119" s="2" t="s">
        <v>79</v>
      </c>
      <c r="F119" s="2" t="s">
        <v>22</v>
      </c>
      <c r="G119" s="2" t="s">
        <v>23</v>
      </c>
      <c r="H119" s="2"/>
      <c r="I119" s="2" t="s">
        <v>47</v>
      </c>
      <c r="J119" s="2"/>
      <c r="K119" s="2"/>
      <c r="L119" s="2"/>
      <c r="M119" s="2" t="s">
        <v>48</v>
      </c>
      <c r="N119" s="2" t="s">
        <v>154</v>
      </c>
      <c r="O119" s="2" t="s">
        <v>50</v>
      </c>
      <c r="P119" s="2" t="s">
        <v>163</v>
      </c>
      <c r="Q119" s="2" t="s">
        <v>207</v>
      </c>
      <c r="R119" s="2" t="s">
        <v>156</v>
      </c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2" t="s">
        <v>258</v>
      </c>
      <c r="B120" s="2" t="s">
        <v>259</v>
      </c>
      <c r="C120" s="3" t="str">
        <f t="array" ref="C120">IFERROR(IF(XLOOKUP(B120,Planilha1!$B:$B,Planilha1!$C:$C)=0,"",XLOOKUP(B120,Planilha1!$B:$B,Planilha1!$C:$C)),"")</f>
        <v>ZPS</v>
      </c>
      <c r="D120" s="2" t="s">
        <v>25</v>
      </c>
      <c r="E120" s="2" t="s">
        <v>260</v>
      </c>
      <c r="F120" s="2" t="s">
        <v>22</v>
      </c>
      <c r="G120" s="2" t="s">
        <v>23</v>
      </c>
      <c r="H120" s="2"/>
      <c r="I120" s="2" t="s">
        <v>89</v>
      </c>
      <c r="J120" s="2"/>
      <c r="K120" s="2"/>
      <c r="L120" s="2"/>
      <c r="M120" s="2" t="s">
        <v>48</v>
      </c>
      <c r="N120" s="2" t="s">
        <v>154</v>
      </c>
      <c r="O120" s="2" t="s">
        <v>50</v>
      </c>
      <c r="P120" s="2" t="s">
        <v>163</v>
      </c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2" t="s">
        <v>261</v>
      </c>
      <c r="B121" s="2" t="s">
        <v>262</v>
      </c>
      <c r="C121" s="3" t="str">
        <f t="array" ref="C121">IFERROR(IF(XLOOKUP(B121,Planilha1!$B:$B,Planilha1!$C:$C)=0,"",XLOOKUP(B121,Planilha1!$B:$B,Planilha1!$C:$C)),"")</f>
        <v>EACB</v>
      </c>
      <c r="D121" s="2" t="s">
        <v>20</v>
      </c>
      <c r="E121" s="2" t="s">
        <v>171</v>
      </c>
      <c r="F121" s="2" t="s">
        <v>22</v>
      </c>
      <c r="G121" s="2" t="s">
        <v>23</v>
      </c>
      <c r="H121" s="2"/>
      <c r="I121" s="2" t="s">
        <v>89</v>
      </c>
      <c r="J121" s="2"/>
      <c r="K121" s="2"/>
      <c r="L121" s="2"/>
      <c r="M121" s="2" t="s">
        <v>48</v>
      </c>
      <c r="N121" s="2" t="s">
        <v>49</v>
      </c>
      <c r="O121" s="2" t="s">
        <v>50</v>
      </c>
      <c r="P121" s="2" t="s">
        <v>123</v>
      </c>
      <c r="Q121" s="2" t="s">
        <v>124</v>
      </c>
      <c r="R121" s="2" t="s">
        <v>156</v>
      </c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2" t="s">
        <v>261</v>
      </c>
      <c r="B122" s="2" t="s">
        <v>262</v>
      </c>
      <c r="C122" s="3" t="str">
        <f t="array" ref="C122">IFERROR(IF(XLOOKUP(B122,Planilha1!$B:$B,Planilha1!$C:$C)=0,"",XLOOKUP(B122,Planilha1!$B:$B,Planilha1!$C:$C)),"")</f>
        <v>EACB</v>
      </c>
      <c r="D122" s="2" t="s">
        <v>25</v>
      </c>
      <c r="E122" s="2" t="s">
        <v>141</v>
      </c>
      <c r="F122" s="2" t="s">
        <v>22</v>
      </c>
      <c r="G122" s="2" t="s">
        <v>23</v>
      </c>
      <c r="H122" s="2"/>
      <c r="I122" s="2" t="s">
        <v>47</v>
      </c>
      <c r="J122" s="2"/>
      <c r="K122" s="2"/>
      <c r="L122" s="2"/>
      <c r="M122" s="2" t="s">
        <v>48</v>
      </c>
      <c r="N122" s="2" t="s">
        <v>49</v>
      </c>
      <c r="O122" s="2" t="s">
        <v>50</v>
      </c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2" t="s">
        <v>263</v>
      </c>
      <c r="B123" s="2" t="s">
        <v>264</v>
      </c>
      <c r="C123" s="3" t="str">
        <f t="array" ref="C123">IFERROR(IF(XLOOKUP(B123,Planilha1!$B:$B,Planilha1!$C:$C)=0,"",XLOOKUP(B123,Planilha1!$B:$B,Planilha1!$C:$C)),"")</f>
        <v>ECO-1</v>
      </c>
      <c r="D123" s="2" t="s">
        <v>20</v>
      </c>
      <c r="E123" s="2" t="s">
        <v>265</v>
      </c>
      <c r="F123" s="2" t="s">
        <v>22</v>
      </c>
      <c r="G123" s="2" t="s">
        <v>23</v>
      </c>
      <c r="H123" s="2"/>
      <c r="I123" s="2" t="s">
        <v>89</v>
      </c>
      <c r="J123" s="2"/>
      <c r="K123" s="2"/>
      <c r="L123" s="2"/>
      <c r="M123" s="2" t="s">
        <v>48</v>
      </c>
      <c r="N123" s="2" t="s">
        <v>49</v>
      </c>
      <c r="O123" s="2" t="s">
        <v>50</v>
      </c>
      <c r="P123" s="2" t="s">
        <v>266</v>
      </c>
      <c r="Q123" s="2" t="s">
        <v>124</v>
      </c>
      <c r="R123" s="2" t="s">
        <v>267</v>
      </c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2" t="s">
        <v>263</v>
      </c>
      <c r="B124" s="2" t="s">
        <v>264</v>
      </c>
      <c r="C124" s="3" t="str">
        <f t="array" ref="C124">IFERROR(IF(XLOOKUP(B124,Planilha1!$B:$B,Planilha1!$C:$C)=0,"",XLOOKUP(B124,Planilha1!$B:$B,Planilha1!$C:$C)),"")</f>
        <v>ECO-1</v>
      </c>
      <c r="D124" s="2" t="s">
        <v>25</v>
      </c>
      <c r="E124" s="2" t="s">
        <v>141</v>
      </c>
      <c r="F124" s="2" t="s">
        <v>22</v>
      </c>
      <c r="G124" s="2" t="s">
        <v>23</v>
      </c>
      <c r="H124" s="2"/>
      <c r="I124" s="2" t="s">
        <v>47</v>
      </c>
      <c r="J124" s="2"/>
      <c r="K124" s="2"/>
      <c r="L124" s="2"/>
      <c r="M124" s="2" t="s">
        <v>48</v>
      </c>
      <c r="N124" s="2" t="s">
        <v>49</v>
      </c>
      <c r="O124" s="2" t="s">
        <v>50</v>
      </c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2" t="s">
        <v>268</v>
      </c>
      <c r="B125" s="2" t="s">
        <v>269</v>
      </c>
      <c r="C125" s="3" t="str">
        <f t="array" ref="C125">IFERROR(IF(XLOOKUP(B125,Planilha1!$B:$B,Planilha1!$C:$C)=0,"",XLOOKUP(B125,Planilha1!$B:$B,Planilha1!$C:$C)),"")</f>
        <v>ECL-3</v>
      </c>
      <c r="D125" s="2" t="s">
        <v>20</v>
      </c>
      <c r="E125" s="2" t="s">
        <v>270</v>
      </c>
      <c r="F125" s="2" t="s">
        <v>22</v>
      </c>
      <c r="G125" s="2" t="s">
        <v>271</v>
      </c>
      <c r="H125" s="2"/>
      <c r="I125" s="2" t="s">
        <v>89</v>
      </c>
      <c r="J125" s="2"/>
      <c r="K125" s="2"/>
      <c r="L125" s="2"/>
      <c r="M125" s="2" t="s">
        <v>48</v>
      </c>
      <c r="N125" s="2" t="s">
        <v>49</v>
      </c>
      <c r="O125" s="2" t="s">
        <v>50</v>
      </c>
      <c r="P125" s="2" t="s">
        <v>123</v>
      </c>
      <c r="Q125" s="2" t="s">
        <v>124</v>
      </c>
      <c r="R125" s="2" t="s">
        <v>156</v>
      </c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2" t="s">
        <v>268</v>
      </c>
      <c r="B126" s="2" t="s">
        <v>269</v>
      </c>
      <c r="C126" s="3" t="str">
        <f t="array" ref="C126">IFERROR(IF(XLOOKUP(B126,Planilha1!$B:$B,Planilha1!$C:$C)=0,"",XLOOKUP(B126,Planilha1!$B:$B,Planilha1!$C:$C)),"")</f>
        <v>ECL-3</v>
      </c>
      <c r="D126" s="2" t="s">
        <v>25</v>
      </c>
      <c r="E126" s="2" t="s">
        <v>141</v>
      </c>
      <c r="F126" s="2" t="s">
        <v>22</v>
      </c>
      <c r="G126" s="2" t="s">
        <v>271</v>
      </c>
      <c r="H126" s="2"/>
      <c r="I126" s="2" t="s">
        <v>89</v>
      </c>
      <c r="J126" s="2"/>
      <c r="K126" s="2"/>
      <c r="L126" s="2"/>
      <c r="M126" s="2" t="s">
        <v>48</v>
      </c>
      <c r="N126" s="2" t="s">
        <v>49</v>
      </c>
      <c r="O126" s="2" t="s">
        <v>50</v>
      </c>
      <c r="P126" s="2" t="s">
        <v>123</v>
      </c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2" t="s">
        <v>272</v>
      </c>
      <c r="B127" s="2" t="s">
        <v>273</v>
      </c>
      <c r="C127" s="3" t="str">
        <f t="array" ref="C127">IFERROR(IF(XLOOKUP(B127,Planilha1!$B:$B,Planilha1!$C:$C)=0,"",XLOOKUP(B127,Planilha1!$B:$B,Planilha1!$C:$C)),"")</f>
        <v>ECS-1</v>
      </c>
      <c r="D127" s="2" t="s">
        <v>20</v>
      </c>
      <c r="E127" s="2" t="s">
        <v>274</v>
      </c>
      <c r="F127" s="2" t="s">
        <v>22</v>
      </c>
      <c r="G127" s="2" t="s">
        <v>23</v>
      </c>
      <c r="H127" s="2"/>
      <c r="I127" s="2" t="s">
        <v>116</v>
      </c>
      <c r="J127" s="2"/>
      <c r="K127" s="2"/>
      <c r="L127" s="2"/>
      <c r="M127" s="2" t="s">
        <v>275</v>
      </c>
      <c r="N127" s="2" t="s">
        <v>116</v>
      </c>
      <c r="O127" s="2" t="s">
        <v>50</v>
      </c>
      <c r="P127" s="2"/>
      <c r="Q127" s="2" t="s">
        <v>96</v>
      </c>
      <c r="R127" s="2" t="s">
        <v>276</v>
      </c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2" t="s">
        <v>272</v>
      </c>
      <c r="B128" s="2" t="s">
        <v>273</v>
      </c>
      <c r="C128" s="3" t="str">
        <f t="array" ref="C128">IFERROR(IF(XLOOKUP(B128,Planilha1!$B:$B,Planilha1!$C:$C)=0,"",XLOOKUP(B128,Planilha1!$B:$B,Planilha1!$C:$C)),"")</f>
        <v>ECS-1</v>
      </c>
      <c r="D128" s="2" t="s">
        <v>25</v>
      </c>
      <c r="E128" s="2" t="s">
        <v>141</v>
      </c>
      <c r="F128" s="2" t="s">
        <v>22</v>
      </c>
      <c r="G128" s="2" t="s">
        <v>23</v>
      </c>
      <c r="H128" s="2"/>
      <c r="I128" s="2" t="s">
        <v>89</v>
      </c>
      <c r="J128" s="2"/>
      <c r="K128" s="2"/>
      <c r="L128" s="2"/>
      <c r="M128" s="2" t="s">
        <v>48</v>
      </c>
      <c r="N128" s="2" t="s">
        <v>116</v>
      </c>
      <c r="O128" s="2" t="s">
        <v>50</v>
      </c>
      <c r="P128" s="2"/>
      <c r="Q128" s="2"/>
      <c r="R128" s="2" t="s">
        <v>277</v>
      </c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2" t="s">
        <v>278</v>
      </c>
      <c r="B129" s="2" t="s">
        <v>279</v>
      </c>
      <c r="C129" s="3" t="str">
        <f t="array" ref="C129">IFERROR(IF(XLOOKUP(B129,Planilha1!$B:$B,Planilha1!$C:$C)=0,"",XLOOKUP(B129,Planilha1!$B:$B,Planilha1!$C:$C)),"")</f>
        <v>EE</v>
      </c>
      <c r="D129" s="2" t="s">
        <v>20</v>
      </c>
      <c r="E129" s="2" t="s">
        <v>79</v>
      </c>
      <c r="F129" s="2" t="s">
        <v>22</v>
      </c>
      <c r="G129" s="2" t="s">
        <v>23</v>
      </c>
      <c r="H129" s="2"/>
      <c r="I129" s="2" t="s">
        <v>47</v>
      </c>
      <c r="J129" s="2"/>
      <c r="K129" s="2"/>
      <c r="L129" s="2"/>
      <c r="M129" s="2" t="s">
        <v>48</v>
      </c>
      <c r="N129" s="2" t="s">
        <v>154</v>
      </c>
      <c r="O129" s="2" t="s">
        <v>50</v>
      </c>
      <c r="P129" s="2"/>
      <c r="Q129" s="2" t="s">
        <v>124</v>
      </c>
      <c r="R129" s="2" t="s">
        <v>156</v>
      </c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2" t="s">
        <v>280</v>
      </c>
      <c r="B130" s="2" t="s">
        <v>281</v>
      </c>
      <c r="C130" s="3" t="str">
        <f t="array" ref="C130">IFERROR(IF(XLOOKUP(B130,Planilha1!$B:$B,Planilha1!$C:$C)=0,"",XLOOKUP(B130,Planilha1!$B:$B,Planilha1!$C:$C)),"")</f>
        <v>EE</v>
      </c>
      <c r="D130" s="2" t="s">
        <v>20</v>
      </c>
      <c r="E130" s="2" t="s">
        <v>79</v>
      </c>
      <c r="F130" s="2" t="s">
        <v>22</v>
      </c>
      <c r="G130" s="2" t="s">
        <v>23</v>
      </c>
      <c r="H130" s="2"/>
      <c r="I130" s="2" t="s">
        <v>47</v>
      </c>
      <c r="J130" s="2"/>
      <c r="K130" s="2"/>
      <c r="L130" s="2"/>
      <c r="M130" s="2" t="s">
        <v>48</v>
      </c>
      <c r="N130" s="2" t="s">
        <v>49</v>
      </c>
      <c r="O130" s="2" t="s">
        <v>50</v>
      </c>
      <c r="P130" s="2"/>
      <c r="Q130" s="2"/>
      <c r="R130" s="2" t="s">
        <v>156</v>
      </c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2" t="s">
        <v>282</v>
      </c>
      <c r="B131" s="2" t="s">
        <v>283</v>
      </c>
      <c r="C131" s="3" t="str">
        <f t="array" ref="C131">IFERROR(IF(XLOOKUP(B131,Planilha1!$B:$B,Planilha1!$C:$C)=0,"",XLOOKUP(B131,Planilha1!$B:$B,Planilha1!$C:$C)),"")</f>
        <v>ENC</v>
      </c>
      <c r="D131" s="2" t="s">
        <v>20</v>
      </c>
      <c r="E131" s="2" t="s">
        <v>79</v>
      </c>
      <c r="F131" s="2" t="s">
        <v>22</v>
      </c>
      <c r="G131" s="2" t="s">
        <v>23</v>
      </c>
      <c r="H131" s="2"/>
      <c r="I131" s="2" t="s">
        <v>47</v>
      </c>
      <c r="J131" s="2"/>
      <c r="K131" s="2"/>
      <c r="L131" s="2"/>
      <c r="M131" s="2" t="s">
        <v>48</v>
      </c>
      <c r="N131" s="2" t="s">
        <v>154</v>
      </c>
      <c r="O131" s="2" t="s">
        <v>50</v>
      </c>
      <c r="P131" s="2"/>
      <c r="Q131" s="2"/>
      <c r="R131" s="2" t="s">
        <v>156</v>
      </c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2" t="s">
        <v>282</v>
      </c>
      <c r="B132" s="2" t="s">
        <v>283</v>
      </c>
      <c r="C132" s="3" t="str">
        <f t="array" ref="C132">IFERROR(IF(XLOOKUP(B132,Planilha1!$B:$B,Planilha1!$C:$C)=0,"",XLOOKUP(B132,Planilha1!$B:$B,Planilha1!$C:$C)),"")</f>
        <v>ENC</v>
      </c>
      <c r="D132" s="2" t="s">
        <v>20</v>
      </c>
      <c r="E132" s="2" t="s">
        <v>131</v>
      </c>
      <c r="F132" s="2" t="s">
        <v>22</v>
      </c>
      <c r="G132" s="2" t="s">
        <v>47</v>
      </c>
      <c r="H132" s="2"/>
      <c r="I132" s="2" t="s">
        <v>83</v>
      </c>
      <c r="J132" s="2"/>
      <c r="K132" s="2"/>
      <c r="L132" s="2"/>
      <c r="M132" s="2" t="s">
        <v>183</v>
      </c>
      <c r="N132" s="2" t="s">
        <v>154</v>
      </c>
      <c r="O132" s="2" t="s">
        <v>50</v>
      </c>
      <c r="P132" s="2" t="s">
        <v>133</v>
      </c>
      <c r="Q132" s="2" t="s">
        <v>124</v>
      </c>
      <c r="R132" s="2" t="s">
        <v>284</v>
      </c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2" t="s">
        <v>285</v>
      </c>
      <c r="B133" s="2" t="s">
        <v>286</v>
      </c>
      <c r="C133" s="3" t="str">
        <f t="array" ref="C133">IFERROR(IF(XLOOKUP(B133,Planilha1!$B:$B,Planilha1!$C:$C)=0,"",XLOOKUP(B133,Planilha1!$B:$B,Planilha1!$C:$C)),"")</f>
        <v>EAC</v>
      </c>
      <c r="D133" s="2" t="s">
        <v>20</v>
      </c>
      <c r="E133" s="2" t="s">
        <v>187</v>
      </c>
      <c r="F133" s="2" t="s">
        <v>22</v>
      </c>
      <c r="G133" s="2" t="s">
        <v>271</v>
      </c>
      <c r="H133" s="2"/>
      <c r="I133" s="2" t="s">
        <v>89</v>
      </c>
      <c r="J133" s="2"/>
      <c r="K133" s="2"/>
      <c r="L133" s="2"/>
      <c r="M133" s="2" t="s">
        <v>188</v>
      </c>
      <c r="N133" s="2" t="s">
        <v>49</v>
      </c>
      <c r="O133" s="2"/>
      <c r="P133" s="2" t="s">
        <v>123</v>
      </c>
      <c r="Q133" s="2" t="s">
        <v>124</v>
      </c>
      <c r="R133" s="2" t="s">
        <v>156</v>
      </c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2" t="s">
        <v>285</v>
      </c>
      <c r="B134" s="2" t="s">
        <v>286</v>
      </c>
      <c r="C134" s="3" t="str">
        <f t="array" ref="C134">IFERROR(IF(XLOOKUP(B134,Planilha1!$B:$B,Planilha1!$C:$C)=0,"",XLOOKUP(B134,Planilha1!$B:$B,Planilha1!$C:$C)),"")</f>
        <v>EAC</v>
      </c>
      <c r="D134" s="2" t="s">
        <v>25</v>
      </c>
      <c r="E134" s="2" t="s">
        <v>141</v>
      </c>
      <c r="F134" s="2" t="s">
        <v>22</v>
      </c>
      <c r="G134" s="2" t="s">
        <v>23</v>
      </c>
      <c r="H134" s="2"/>
      <c r="I134" s="2" t="s">
        <v>89</v>
      </c>
      <c r="J134" s="2"/>
      <c r="K134" s="2"/>
      <c r="L134" s="2"/>
      <c r="M134" s="2" t="s">
        <v>188</v>
      </c>
      <c r="N134" s="2" t="s">
        <v>49</v>
      </c>
      <c r="O134" s="2"/>
      <c r="P134" s="2" t="s">
        <v>123</v>
      </c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2" t="s">
        <v>287</v>
      </c>
      <c r="B135" s="2" t="s">
        <v>288</v>
      </c>
      <c r="C135" s="3" t="str">
        <f t="array" ref="C135">IFERROR(IF(XLOOKUP(B135,Planilha1!$B:$B,Planilha1!$C:$C)=0,"",XLOOKUP(B135,Planilha1!$B:$B,Planilha1!$C:$C)),"")</f>
        <v>EAC</v>
      </c>
      <c r="D135" s="2" t="s">
        <v>20</v>
      </c>
      <c r="E135" s="2" t="s">
        <v>187</v>
      </c>
      <c r="F135" s="2" t="s">
        <v>22</v>
      </c>
      <c r="G135" s="2" t="s">
        <v>271</v>
      </c>
      <c r="H135" s="2"/>
      <c r="I135" s="2" t="s">
        <v>89</v>
      </c>
      <c r="J135" s="2"/>
      <c r="K135" s="2"/>
      <c r="L135" s="2"/>
      <c r="M135" s="2" t="s">
        <v>48</v>
      </c>
      <c r="N135" s="2" t="s">
        <v>49</v>
      </c>
      <c r="O135" s="2" t="s">
        <v>50</v>
      </c>
      <c r="P135" s="2" t="s">
        <v>123</v>
      </c>
      <c r="Q135" s="2" t="s">
        <v>124</v>
      </c>
      <c r="R135" s="2" t="s">
        <v>156</v>
      </c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2" t="s">
        <v>287</v>
      </c>
      <c r="B136" s="2" t="s">
        <v>288</v>
      </c>
      <c r="C136" s="3" t="str">
        <f t="array" ref="C136">IFERROR(IF(XLOOKUP(B136,Planilha1!$B:$B,Planilha1!$C:$C)=0,"",XLOOKUP(B136,Planilha1!$B:$B,Planilha1!$C:$C)),"")</f>
        <v>EAC</v>
      </c>
      <c r="D136" s="2" t="s">
        <v>25</v>
      </c>
      <c r="E136" s="2" t="s">
        <v>141</v>
      </c>
      <c r="F136" s="2" t="s">
        <v>22</v>
      </c>
      <c r="G136" s="2" t="s">
        <v>23</v>
      </c>
      <c r="H136" s="2"/>
      <c r="I136" s="2" t="s">
        <v>89</v>
      </c>
      <c r="J136" s="2"/>
      <c r="K136" s="2"/>
      <c r="L136" s="2"/>
      <c r="M136" s="2" t="s">
        <v>48</v>
      </c>
      <c r="N136" s="2" t="s">
        <v>49</v>
      </c>
      <c r="O136" s="2" t="s">
        <v>50</v>
      </c>
      <c r="P136" s="2" t="s">
        <v>123</v>
      </c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2" t="s">
        <v>289</v>
      </c>
      <c r="B137" s="2" t="s">
        <v>290</v>
      </c>
      <c r="C137" s="3" t="str">
        <f t="array" ref="C137">IFERROR(IF(XLOOKUP(B137,Planilha1!$B:$B,Planilha1!$C:$C)=0,"",XLOOKUP(B137,Planilha1!$B:$B,Planilha1!$C:$C)),"")</f>
        <v>POLO-LV</v>
      </c>
      <c r="D137" s="2" t="s">
        <v>20</v>
      </c>
      <c r="E137" s="2" t="s">
        <v>79</v>
      </c>
      <c r="F137" s="2" t="s">
        <v>22</v>
      </c>
      <c r="G137" s="2" t="s">
        <v>198</v>
      </c>
      <c r="H137" s="2"/>
      <c r="I137" s="2" t="s">
        <v>47</v>
      </c>
      <c r="J137" s="2"/>
      <c r="K137" s="2"/>
      <c r="L137" s="2"/>
      <c r="M137" s="2" t="s">
        <v>48</v>
      </c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2" t="s">
        <v>289</v>
      </c>
      <c r="B138" s="2" t="s">
        <v>290</v>
      </c>
      <c r="C138" s="3" t="str">
        <f t="array" ref="C138">IFERROR(IF(XLOOKUP(B138,Planilha1!$B:$B,Planilha1!$C:$C)=0,"",XLOOKUP(B138,Planilha1!$B:$B,Planilha1!$C:$C)),"")</f>
        <v>POLO-LV</v>
      </c>
      <c r="D138" s="2" t="s">
        <v>20</v>
      </c>
      <c r="E138" s="2" t="s">
        <v>291</v>
      </c>
      <c r="F138" s="2" t="s">
        <v>22</v>
      </c>
      <c r="G138" s="2" t="s">
        <v>198</v>
      </c>
      <c r="H138" s="2" t="s">
        <v>89</v>
      </c>
      <c r="I138" s="2" t="s">
        <v>132</v>
      </c>
      <c r="J138" s="2" t="s">
        <v>83</v>
      </c>
      <c r="K138" s="2"/>
      <c r="L138" s="2"/>
      <c r="M138" s="2" t="s">
        <v>292</v>
      </c>
      <c r="N138" s="2"/>
      <c r="O138" s="2"/>
      <c r="P138" s="2"/>
      <c r="Q138" s="2" t="s">
        <v>293</v>
      </c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2" t="s">
        <v>289</v>
      </c>
      <c r="B139" s="2" t="s">
        <v>290</v>
      </c>
      <c r="C139" s="3" t="str">
        <f t="array" ref="C139">IFERROR(IF(XLOOKUP(B139,Planilha1!$B:$B,Planilha1!$C:$C)=0,"",XLOOKUP(B139,Planilha1!$B:$B,Planilha1!$C:$C)),"")</f>
        <v>POLO-LV</v>
      </c>
      <c r="D139" s="2" t="s">
        <v>25</v>
      </c>
      <c r="E139" s="2" t="s">
        <v>294</v>
      </c>
      <c r="F139" s="2" t="s">
        <v>22</v>
      </c>
      <c r="G139" s="2" t="s">
        <v>198</v>
      </c>
      <c r="H139" s="2" t="s">
        <v>89</v>
      </c>
      <c r="I139" s="2" t="s">
        <v>132</v>
      </c>
      <c r="J139" s="2" t="s">
        <v>83</v>
      </c>
      <c r="K139" s="2"/>
      <c r="L139" s="2"/>
      <c r="M139" s="2" t="s">
        <v>292</v>
      </c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2" t="s">
        <v>295</v>
      </c>
      <c r="B140" s="2" t="s">
        <v>296</v>
      </c>
      <c r="C140" s="3" t="str">
        <f t="array" ref="C140">IFERROR(IF(XLOOKUP(B140,Planilha1!$B:$B,Planilha1!$C:$C)=0,"",XLOOKUP(B140,Planilha1!$B:$B,Planilha1!$C:$C)),"")</f>
        <v>SE-LV</v>
      </c>
      <c r="D140" s="2" t="s">
        <v>20</v>
      </c>
      <c r="E140" s="2" t="s">
        <v>79</v>
      </c>
      <c r="F140" s="2" t="s">
        <v>22</v>
      </c>
      <c r="G140" s="2" t="s">
        <v>198</v>
      </c>
      <c r="H140" s="2"/>
      <c r="I140" s="2" t="s">
        <v>47</v>
      </c>
      <c r="J140" s="2"/>
      <c r="K140" s="2"/>
      <c r="L140" s="2"/>
      <c r="M140" s="2" t="s">
        <v>48</v>
      </c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2" t="s">
        <v>295</v>
      </c>
      <c r="B141" s="2" t="s">
        <v>296</v>
      </c>
      <c r="C141" s="3" t="str">
        <f t="array" ref="C141">IFERROR(IF(XLOOKUP(B141,Planilha1!$B:$B,Planilha1!$C:$C)=0,"",XLOOKUP(B141,Planilha1!$B:$B,Planilha1!$C:$C)),"")</f>
        <v>SE-LV</v>
      </c>
      <c r="D141" s="2" t="s">
        <v>20</v>
      </c>
      <c r="E141" s="2" t="s">
        <v>291</v>
      </c>
      <c r="F141" s="2" t="s">
        <v>22</v>
      </c>
      <c r="G141" s="2" t="s">
        <v>198</v>
      </c>
      <c r="H141" s="2" t="s">
        <v>89</v>
      </c>
      <c r="I141" s="2" t="s">
        <v>132</v>
      </c>
      <c r="J141" s="2" t="s">
        <v>83</v>
      </c>
      <c r="K141" s="2"/>
      <c r="L141" s="2"/>
      <c r="M141" s="2" t="s">
        <v>297</v>
      </c>
      <c r="N141" s="2" t="s">
        <v>298</v>
      </c>
      <c r="O141" s="2"/>
      <c r="P141" s="2"/>
      <c r="Q141" s="2" t="s">
        <v>293</v>
      </c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2" t="s">
        <v>299</v>
      </c>
      <c r="B142" s="2" t="s">
        <v>300</v>
      </c>
      <c r="C142" s="3" t="str">
        <f t="array" ref="C142">IFERROR(IF(XLOOKUP(B142,Planilha1!$B:$B,Planilha1!$C:$C)=0,"",XLOOKUP(B142,Planilha1!$B:$B,Planilha1!$C:$C)),"")</f>
        <v>ZT-LV</v>
      </c>
      <c r="D142" s="2" t="s">
        <v>20</v>
      </c>
      <c r="E142" s="2" t="s">
        <v>301</v>
      </c>
      <c r="F142" s="2" t="s">
        <v>22</v>
      </c>
      <c r="G142" s="2" t="s">
        <v>198</v>
      </c>
      <c r="H142" s="2"/>
      <c r="I142" s="2" t="s">
        <v>47</v>
      </c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2" t="s">
        <v>299</v>
      </c>
      <c r="B143" s="2" t="s">
        <v>300</v>
      </c>
      <c r="C143" s="3" t="str">
        <f t="array" ref="C143">IFERROR(IF(XLOOKUP(B143,Planilha1!$B:$B,Planilha1!$C:$C)=0,"",XLOOKUP(B143,Planilha1!$B:$B,Planilha1!$C:$C)),"")</f>
        <v>ZT-LV</v>
      </c>
      <c r="D143" s="2" t="s">
        <v>20</v>
      </c>
      <c r="E143" s="2" t="s">
        <v>291</v>
      </c>
      <c r="F143" s="2" t="s">
        <v>22</v>
      </c>
      <c r="G143" s="2" t="s">
        <v>198</v>
      </c>
      <c r="H143" s="2" t="s">
        <v>89</v>
      </c>
      <c r="I143" s="2" t="s">
        <v>132</v>
      </c>
      <c r="J143" s="2" t="s">
        <v>83</v>
      </c>
      <c r="K143" s="2"/>
      <c r="L143" s="2"/>
      <c r="M143" s="2" t="s">
        <v>297</v>
      </c>
      <c r="N143" s="2"/>
      <c r="O143" s="2"/>
      <c r="P143" s="2"/>
      <c r="Q143" s="2" t="s">
        <v>293</v>
      </c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2" t="s">
        <v>302</v>
      </c>
      <c r="B144" s="2" t="s">
        <v>303</v>
      </c>
      <c r="C144" s="3" t="str">
        <f t="array" ref="C144">IFERROR(IF(XLOOKUP(B144,Planilha1!$B:$B,Planilha1!$C:$C)=0,"",XLOOKUP(B144,Planilha1!$B:$B,Planilha1!$C:$C)),"")</f>
        <v>ZUMVP</v>
      </c>
      <c r="D144" s="2" t="s">
        <v>20</v>
      </c>
      <c r="E144" s="2" t="s">
        <v>122</v>
      </c>
      <c r="F144" s="2" t="s">
        <v>22</v>
      </c>
      <c r="G144" s="2" t="s">
        <v>23</v>
      </c>
      <c r="H144" s="2"/>
      <c r="I144" s="2" t="s">
        <v>89</v>
      </c>
      <c r="J144" s="2"/>
      <c r="K144" s="2"/>
      <c r="L144" s="2"/>
      <c r="M144" s="2" t="s">
        <v>48</v>
      </c>
      <c r="N144" s="2" t="s">
        <v>154</v>
      </c>
      <c r="O144" s="2" t="s">
        <v>50</v>
      </c>
      <c r="P144" s="2" t="s">
        <v>304</v>
      </c>
      <c r="Q144" s="2" t="s">
        <v>207</v>
      </c>
      <c r="R144" s="2" t="s">
        <v>140</v>
      </c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2" t="s">
        <v>302</v>
      </c>
      <c r="B145" s="2" t="s">
        <v>303</v>
      </c>
      <c r="C145" s="3" t="str">
        <f t="array" ref="C145">IFERROR(IF(XLOOKUP(B145,Planilha1!$B:$B,Planilha1!$C:$C)=0,"",XLOOKUP(B145,Planilha1!$B:$B,Planilha1!$C:$C)),"")</f>
        <v>ZUMVP</v>
      </c>
      <c r="D145" s="2" t="s">
        <v>25</v>
      </c>
      <c r="E145" s="2" t="s">
        <v>305</v>
      </c>
      <c r="F145" s="2" t="s">
        <v>22</v>
      </c>
      <c r="G145" s="2" t="s">
        <v>23</v>
      </c>
      <c r="H145" s="2"/>
      <c r="I145" s="2" t="s">
        <v>89</v>
      </c>
      <c r="J145" s="2"/>
      <c r="K145" s="2"/>
      <c r="L145" s="2"/>
      <c r="M145" s="2" t="s">
        <v>48</v>
      </c>
      <c r="N145" s="2" t="s">
        <v>154</v>
      </c>
      <c r="O145" s="2" t="s">
        <v>50</v>
      </c>
      <c r="P145" s="2" t="s">
        <v>304</v>
      </c>
      <c r="Q145" s="2"/>
      <c r="R145" s="2" t="s">
        <v>306</v>
      </c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$A$1:$R$145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9.57"/>
    <col customWidth="1" min="2" max="2" width="11.43"/>
    <col customWidth="1" min="3" max="3" width="29.43"/>
    <col customWidth="1" min="4" max="4" width="21.29"/>
    <col customWidth="1" min="5" max="26" width="8.71"/>
  </cols>
  <sheetData>
    <row r="1" ht="14.25" customHeight="1">
      <c r="A1" s="4" t="s">
        <v>0</v>
      </c>
      <c r="B1" s="4" t="s">
        <v>1</v>
      </c>
      <c r="C1" s="5" t="s">
        <v>307</v>
      </c>
      <c r="D1" s="5" t="s">
        <v>308</v>
      </c>
    </row>
    <row r="2" ht="14.25" customHeight="1">
      <c r="A2" s="6" t="s">
        <v>261</v>
      </c>
      <c r="B2" s="6" t="s">
        <v>262</v>
      </c>
      <c r="C2" s="5" t="s">
        <v>262</v>
      </c>
      <c r="D2" s="5" t="s">
        <v>309</v>
      </c>
    </row>
    <row r="3" ht="14.25" customHeight="1">
      <c r="A3" s="6" t="s">
        <v>169</v>
      </c>
      <c r="B3" s="6" t="s">
        <v>170</v>
      </c>
      <c r="C3" s="5" t="s">
        <v>170</v>
      </c>
      <c r="D3" s="5" t="s">
        <v>310</v>
      </c>
    </row>
    <row r="4" ht="14.25" customHeight="1">
      <c r="A4" s="6" t="s">
        <v>287</v>
      </c>
      <c r="B4" s="6" t="s">
        <v>288</v>
      </c>
      <c r="C4" s="5" t="s">
        <v>311</v>
      </c>
      <c r="D4" s="5" t="s">
        <v>312</v>
      </c>
    </row>
    <row r="5" ht="14.25" customHeight="1">
      <c r="A5" s="6" t="s">
        <v>285</v>
      </c>
      <c r="B5" s="6" t="s">
        <v>286</v>
      </c>
      <c r="C5" s="5" t="s">
        <v>311</v>
      </c>
      <c r="D5" s="5" t="s">
        <v>313</v>
      </c>
    </row>
    <row r="6" ht="14.25" customHeight="1">
      <c r="A6" s="6" t="s">
        <v>268</v>
      </c>
      <c r="B6" s="6" t="s">
        <v>269</v>
      </c>
      <c r="C6" s="5" t="s">
        <v>314</v>
      </c>
      <c r="D6" s="5" t="s">
        <v>315</v>
      </c>
    </row>
    <row r="7" ht="14.25" customHeight="1">
      <c r="A7" s="6" t="s">
        <v>263</v>
      </c>
      <c r="B7" s="6"/>
    </row>
    <row r="8" ht="14.25" customHeight="1">
      <c r="A8" s="6" t="s">
        <v>272</v>
      </c>
      <c r="B8" s="6" t="s">
        <v>273</v>
      </c>
      <c r="C8" s="5" t="s">
        <v>316</v>
      </c>
    </row>
    <row r="9" ht="14.25" customHeight="1">
      <c r="A9" s="6" t="s">
        <v>280</v>
      </c>
      <c r="B9" s="6" t="s">
        <v>281</v>
      </c>
      <c r="C9" s="5" t="s">
        <v>317</v>
      </c>
    </row>
    <row r="10" ht="14.25" customHeight="1">
      <c r="A10" s="6" t="s">
        <v>173</v>
      </c>
      <c r="B10" s="6" t="s">
        <v>174</v>
      </c>
      <c r="C10" s="5" t="s">
        <v>317</v>
      </c>
    </row>
    <row r="11" ht="14.25" customHeight="1">
      <c r="A11" s="6" t="s">
        <v>278</v>
      </c>
      <c r="B11" s="6" t="s">
        <v>279</v>
      </c>
      <c r="C11" s="5" t="s">
        <v>317</v>
      </c>
    </row>
    <row r="12" ht="14.25" customHeight="1">
      <c r="A12" s="6" t="s">
        <v>185</v>
      </c>
      <c r="B12" s="6" t="s">
        <v>186</v>
      </c>
      <c r="C12" s="5" t="s">
        <v>186</v>
      </c>
    </row>
    <row r="13" ht="14.25" customHeight="1">
      <c r="A13" s="6" t="s">
        <v>181</v>
      </c>
      <c r="B13" s="6" t="s">
        <v>182</v>
      </c>
      <c r="C13" s="5" t="s">
        <v>182</v>
      </c>
    </row>
    <row r="14" ht="14.25" customHeight="1">
      <c r="A14" s="6" t="s">
        <v>282</v>
      </c>
      <c r="B14" s="6" t="s">
        <v>283</v>
      </c>
      <c r="C14" s="5" t="s">
        <v>182</v>
      </c>
    </row>
    <row r="15" ht="14.25" customHeight="1">
      <c r="A15" s="6" t="s">
        <v>289</v>
      </c>
      <c r="B15" s="6" t="s">
        <v>290</v>
      </c>
      <c r="C15" s="5" t="s">
        <v>290</v>
      </c>
    </row>
    <row r="16" ht="14.25" customHeight="1">
      <c r="A16" s="6" t="s">
        <v>195</v>
      </c>
      <c r="B16" s="6" t="s">
        <v>196</v>
      </c>
      <c r="C16" s="5" t="s">
        <v>196</v>
      </c>
    </row>
    <row r="17" ht="14.25" customHeight="1">
      <c r="A17" s="6" t="s">
        <v>295</v>
      </c>
      <c r="B17" s="6" t="s">
        <v>296</v>
      </c>
      <c r="C17" s="5" t="s">
        <v>296</v>
      </c>
    </row>
    <row r="18" ht="14.25" customHeight="1">
      <c r="A18" s="6" t="s">
        <v>189</v>
      </c>
      <c r="B18" s="6" t="s">
        <v>190</v>
      </c>
    </row>
    <row r="19" ht="14.25" customHeight="1">
      <c r="A19" s="7" t="s">
        <v>55</v>
      </c>
      <c r="B19" s="7" t="s">
        <v>56</v>
      </c>
    </row>
    <row r="20" ht="14.25" customHeight="1">
      <c r="A20" s="7" t="s">
        <v>60</v>
      </c>
      <c r="B20" s="7" t="s">
        <v>61</v>
      </c>
    </row>
    <row r="21" ht="14.25" customHeight="1">
      <c r="A21" s="7" t="s">
        <v>63</v>
      </c>
      <c r="B21" s="7" t="s">
        <v>64</v>
      </c>
    </row>
    <row r="22" ht="14.25" customHeight="1">
      <c r="A22" s="7" t="s">
        <v>18</v>
      </c>
      <c r="B22" s="7" t="s">
        <v>19</v>
      </c>
    </row>
    <row r="23" ht="14.25" customHeight="1">
      <c r="A23" s="7" t="s">
        <v>44</v>
      </c>
      <c r="B23" s="7" t="s">
        <v>45</v>
      </c>
    </row>
    <row r="24" ht="14.25" customHeight="1">
      <c r="A24" s="7" t="s">
        <v>77</v>
      </c>
      <c r="B24" s="7" t="s">
        <v>78</v>
      </c>
      <c r="C24" s="5" t="s">
        <v>78</v>
      </c>
    </row>
    <row r="25" ht="14.25" customHeight="1">
      <c r="A25" s="6" t="s">
        <v>243</v>
      </c>
      <c r="B25" s="6" t="s">
        <v>244</v>
      </c>
      <c r="C25" s="5" t="s">
        <v>244</v>
      </c>
    </row>
    <row r="26" ht="14.25" customHeight="1">
      <c r="A26" s="6" t="s">
        <v>237</v>
      </c>
      <c r="B26" s="6" t="s">
        <v>238</v>
      </c>
    </row>
    <row r="27" ht="14.25" customHeight="1">
      <c r="A27" s="6" t="s">
        <v>246</v>
      </c>
      <c r="B27" s="6" t="s">
        <v>247</v>
      </c>
      <c r="C27" s="5" t="s">
        <v>318</v>
      </c>
    </row>
    <row r="28" ht="14.25" customHeight="1">
      <c r="A28" s="6" t="s">
        <v>150</v>
      </c>
      <c r="B28" s="6" t="s">
        <v>151</v>
      </c>
      <c r="C28" s="5" t="s">
        <v>151</v>
      </c>
    </row>
    <row r="29" ht="14.25" customHeight="1">
      <c r="A29" s="6" t="s">
        <v>220</v>
      </c>
      <c r="B29" s="6" t="s">
        <v>221</v>
      </c>
      <c r="C29" s="5" t="s">
        <v>221</v>
      </c>
    </row>
    <row r="30" ht="14.25" customHeight="1">
      <c r="A30" s="6" t="s">
        <v>228</v>
      </c>
      <c r="B30" s="6" t="s">
        <v>229</v>
      </c>
      <c r="C30" s="5" t="s">
        <v>229</v>
      </c>
    </row>
    <row r="31" ht="14.25" customHeight="1">
      <c r="A31" s="6" t="s">
        <v>234</v>
      </c>
      <c r="B31" s="6" t="s">
        <v>235</v>
      </c>
      <c r="C31" s="5" t="s">
        <v>235</v>
      </c>
    </row>
    <row r="32" ht="14.25" customHeight="1">
      <c r="A32" s="6" t="s">
        <v>159</v>
      </c>
      <c r="B32" s="6" t="s">
        <v>160</v>
      </c>
      <c r="C32" s="5" t="s">
        <v>160</v>
      </c>
    </row>
    <row r="33" ht="14.25" customHeight="1">
      <c r="A33" s="6" t="s">
        <v>223</v>
      </c>
      <c r="B33" s="6" t="s">
        <v>224</v>
      </c>
      <c r="C33" s="5" t="s">
        <v>224</v>
      </c>
    </row>
    <row r="34" ht="14.25" customHeight="1">
      <c r="A34" s="6" t="s">
        <v>258</v>
      </c>
      <c r="B34" s="6" t="s">
        <v>259</v>
      </c>
      <c r="C34" s="5" t="s">
        <v>259</v>
      </c>
    </row>
    <row r="35" ht="14.25" customHeight="1">
      <c r="A35" s="7" t="s">
        <v>94</v>
      </c>
      <c r="B35" s="7" t="s">
        <v>95</v>
      </c>
      <c r="C35" s="5" t="s">
        <v>319</v>
      </c>
    </row>
    <row r="36" ht="14.25" customHeight="1">
      <c r="A36" s="7" t="s">
        <v>104</v>
      </c>
      <c r="B36" s="7" t="s">
        <v>105</v>
      </c>
      <c r="C36" s="5" t="s">
        <v>320</v>
      </c>
    </row>
    <row r="37" ht="14.25" customHeight="1">
      <c r="A37" s="7" t="s">
        <v>112</v>
      </c>
      <c r="B37" s="7" t="s">
        <v>113</v>
      </c>
      <c r="C37" s="5" t="s">
        <v>321</v>
      </c>
    </row>
    <row r="38" ht="14.25" customHeight="1">
      <c r="A38" s="7" t="s">
        <v>120</v>
      </c>
      <c r="B38" s="7" t="s">
        <v>121</v>
      </c>
      <c r="C38" s="5" t="s">
        <v>121</v>
      </c>
    </row>
    <row r="39" ht="14.25" customHeight="1">
      <c r="A39" s="7" t="s">
        <v>128</v>
      </c>
      <c r="B39" s="7" t="s">
        <v>129</v>
      </c>
      <c r="C39" s="5" t="s">
        <v>322</v>
      </c>
    </row>
    <row r="40" ht="14.25" customHeight="1">
      <c r="A40" s="6" t="s">
        <v>201</v>
      </c>
      <c r="B40" s="6" t="s">
        <v>202</v>
      </c>
      <c r="C40" s="5" t="s">
        <v>323</v>
      </c>
    </row>
    <row r="41" ht="14.25" customHeight="1">
      <c r="A41" s="6" t="s">
        <v>210</v>
      </c>
      <c r="B41" s="6" t="s">
        <v>211</v>
      </c>
      <c r="C41" s="5" t="s">
        <v>211</v>
      </c>
    </row>
    <row r="42" ht="14.25" customHeight="1">
      <c r="A42" s="6" t="s">
        <v>251</v>
      </c>
      <c r="B42" s="6" t="s">
        <v>252</v>
      </c>
      <c r="C42" s="5" t="s">
        <v>252</v>
      </c>
    </row>
    <row r="43" ht="14.25" customHeight="1">
      <c r="A43" s="6" t="s">
        <v>255</v>
      </c>
      <c r="B43" s="6" t="s">
        <v>256</v>
      </c>
      <c r="C43" s="5" t="s">
        <v>256</v>
      </c>
    </row>
    <row r="44" ht="14.25" customHeight="1">
      <c r="A44" s="6" t="s">
        <v>214</v>
      </c>
      <c r="B44" s="6" t="s">
        <v>215</v>
      </c>
      <c r="C44" s="5" t="s">
        <v>215</v>
      </c>
    </row>
    <row r="45" ht="14.25" customHeight="1">
      <c r="A45" s="6" t="s">
        <v>299</v>
      </c>
      <c r="B45" s="6" t="s">
        <v>300</v>
      </c>
      <c r="C45" s="5" t="s">
        <v>300</v>
      </c>
    </row>
    <row r="46" ht="14.25" customHeight="1">
      <c r="A46" s="6" t="s">
        <v>137</v>
      </c>
      <c r="B46" s="6" t="s">
        <v>138</v>
      </c>
      <c r="C46" s="5" t="s">
        <v>138</v>
      </c>
    </row>
    <row r="47" ht="14.25" customHeight="1">
      <c r="A47" s="6" t="s">
        <v>142</v>
      </c>
      <c r="B47" s="6" t="s">
        <v>143</v>
      </c>
      <c r="C47" s="5" t="s">
        <v>143</v>
      </c>
    </row>
    <row r="48" ht="14.25" customHeight="1">
      <c r="A48" s="6" t="s">
        <v>147</v>
      </c>
      <c r="B48" s="6" t="s">
        <v>148</v>
      </c>
      <c r="C48" s="5" t="s">
        <v>148</v>
      </c>
    </row>
    <row r="49" ht="14.25" customHeight="1">
      <c r="A49" s="6" t="s">
        <v>302</v>
      </c>
      <c r="B49" s="6" t="s">
        <v>303</v>
      </c>
      <c r="C49" s="5" t="s">
        <v>303</v>
      </c>
    </row>
    <row r="50" ht="14.25" customHeight="1">
      <c r="B50" s="6" t="s">
        <v>264</v>
      </c>
      <c r="C50" s="5" t="s">
        <v>324</v>
      </c>
    </row>
    <row r="51" ht="14.25" customHeight="1">
      <c r="B51" s="6" t="s">
        <v>264</v>
      </c>
      <c r="C51" s="5" t="s">
        <v>325</v>
      </c>
    </row>
    <row r="52" ht="14.25" customHeight="1">
      <c r="B52" s="6" t="s">
        <v>264</v>
      </c>
      <c r="C52" s="5" t="s">
        <v>326</v>
      </c>
    </row>
    <row r="53" ht="14.25" customHeight="1">
      <c r="B53" s="6" t="s">
        <v>264</v>
      </c>
      <c r="C53" s="5" t="s">
        <v>327</v>
      </c>
    </row>
    <row r="54" ht="14.25" customHeight="1">
      <c r="B54" s="6" t="s">
        <v>247</v>
      </c>
      <c r="C54" s="5" t="s">
        <v>328</v>
      </c>
    </row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D$1:$D$37">
    <sortState ref="D1:D37">
      <sortCondition ref="D1:D37"/>
    </sortState>
  </autoFilter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2026-02-10T12:19:28Z</dcterms:created>
  <dc:creator>openpyxl</dc:creator>
</cp:coreProperties>
</file>